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Family</t>
        </is>
      </c>
      <c r="B1" s="1" t="inlineStr">
        <is>
          <t>Formula</t>
        </is>
      </c>
      <c r="C1" s="1" t="inlineStr">
        <is>
          <t>Result</t>
        </is>
      </c>
    </row>
    <row r="2">
      <c r="A2" t="inlineStr">
        <is>
          <t>Math</t>
        </is>
      </c>
      <c r="B2" t="inlineStr">
        <is>
          <t>=SUM(Data!A1:A20)</t>
        </is>
      </c>
      <c r="C2">
        <f>SUM(Data!A1:A20)</f>
        <v/>
      </c>
    </row>
    <row r="3">
      <c r="A3" t="inlineStr">
        <is>
          <t>Math</t>
        </is>
      </c>
      <c r="B3" t="inlineStr">
        <is>
          <t>=SUMIF(Data!A1:A20,"&gt;10")</t>
        </is>
      </c>
      <c r="C3">
        <f>SUMIF(Data!A1:A20,"&gt;10")</f>
        <v/>
      </c>
    </row>
    <row r="4">
      <c r="A4" t="inlineStr">
        <is>
          <t>Math</t>
        </is>
      </c>
      <c r="B4" t="inlineStr">
        <is>
          <t>=SUMIFS(Data!A1:A20,Data!A1:A20,"&gt;5",Data!A1:A20,"&lt;15")</t>
        </is>
      </c>
      <c r="C4">
        <f>SUMIFS(Data!A1:A20,Data!A1:A20,"&gt;5",Data!A1:A20,"&lt;15")</f>
        <v/>
      </c>
    </row>
    <row r="5">
      <c r="A5" t="inlineStr">
        <is>
          <t>Math</t>
        </is>
      </c>
      <c r="B5" t="inlineStr">
        <is>
          <t>=SUMPRODUCT(Data!A1:A5,Data!A6:A10)</t>
        </is>
      </c>
      <c r="C5">
        <f>SUMPRODUCT(Data!A1:A5,Data!A6:A10)</f>
        <v/>
      </c>
    </row>
    <row r="6">
      <c r="A6" t="inlineStr">
        <is>
          <t>Math</t>
        </is>
      </c>
      <c r="B6" t="inlineStr">
        <is>
          <t>=ROUND(PI(),2)</t>
        </is>
      </c>
      <c r="C6">
        <f>ROUND(PI(),2)</f>
        <v/>
      </c>
    </row>
    <row r="7">
      <c r="A7" t="inlineStr">
        <is>
          <t>Math</t>
        </is>
      </c>
      <c r="B7" t="inlineStr">
        <is>
          <t>=ROUNDUP(2.341,1)</t>
        </is>
      </c>
      <c r="C7">
        <f>ROUNDUP(2.341,1)</f>
        <v/>
      </c>
    </row>
    <row r="8">
      <c r="A8" t="inlineStr">
        <is>
          <t>Math</t>
        </is>
      </c>
      <c r="B8" t="inlineStr">
        <is>
          <t>=ROUNDDOWN(2.349,2)</t>
        </is>
      </c>
      <c r="C8">
        <f>ROUNDDOWN(2.349,2)</f>
        <v/>
      </c>
    </row>
    <row r="9">
      <c r="A9" t="inlineStr">
        <is>
          <t>Math</t>
        </is>
      </c>
      <c r="B9" t="inlineStr">
        <is>
          <t>=MOD(17,5)</t>
        </is>
      </c>
      <c r="C9">
        <f>MOD(17,5)</f>
        <v/>
      </c>
    </row>
    <row r="10">
      <c r="A10" t="inlineStr">
        <is>
          <t>Math</t>
        </is>
      </c>
      <c r="B10" t="inlineStr">
        <is>
          <t>=INT(-3.7)</t>
        </is>
      </c>
      <c r="C10">
        <f>INT(-3.7)</f>
        <v/>
      </c>
    </row>
    <row r="11">
      <c r="A11" t="inlineStr">
        <is>
          <t>Math</t>
        </is>
      </c>
      <c r="B11" t="inlineStr">
        <is>
          <t>=TRUNC(-3.7)</t>
        </is>
      </c>
      <c r="C11">
        <f>TRUNC(-3.7)</f>
        <v/>
      </c>
    </row>
    <row r="12">
      <c r="A12" t="inlineStr">
        <is>
          <t>Math</t>
        </is>
      </c>
      <c r="B12" t="inlineStr">
        <is>
          <t>=ABS(-5)</t>
        </is>
      </c>
      <c r="C12">
        <f>ABS(-5)</f>
        <v/>
      </c>
    </row>
    <row r="13">
      <c r="A13" t="inlineStr">
        <is>
          <t>Math</t>
        </is>
      </c>
      <c r="B13" t="inlineStr">
        <is>
          <t>=SQRT(16)</t>
        </is>
      </c>
      <c r="C13">
        <f>SQRT(16)</f>
        <v/>
      </c>
    </row>
    <row r="14">
      <c r="A14" t="inlineStr">
        <is>
          <t>Math</t>
        </is>
      </c>
      <c r="B14" t="inlineStr">
        <is>
          <t>=POWER(2,10)</t>
        </is>
      </c>
      <c r="C14">
        <f>POWER(2,10)</f>
        <v/>
      </c>
    </row>
    <row r="15">
      <c r="A15" t="inlineStr">
        <is>
          <t>Math</t>
        </is>
      </c>
      <c r="B15" t="inlineStr">
        <is>
          <t>=EXP(1)</t>
        </is>
      </c>
      <c r="C15">
        <f>EXP(1)</f>
        <v/>
      </c>
    </row>
    <row r="16">
      <c r="A16" t="inlineStr">
        <is>
          <t>Math</t>
        </is>
      </c>
      <c r="B16" t="inlineStr">
        <is>
          <t>=LN(10)</t>
        </is>
      </c>
      <c r="C16">
        <f>LN(10)</f>
        <v/>
      </c>
    </row>
    <row r="17">
      <c r="A17" t="inlineStr">
        <is>
          <t>Math</t>
        </is>
      </c>
      <c r="B17" t="inlineStr">
        <is>
          <t>=LOG(1000)</t>
        </is>
      </c>
      <c r="C17">
        <f>LOG(1000)</f>
        <v/>
      </c>
    </row>
    <row r="18">
      <c r="A18" t="inlineStr">
        <is>
          <t>Math</t>
        </is>
      </c>
      <c r="B18" t="inlineStr">
        <is>
          <t>=LOG10(100)</t>
        </is>
      </c>
      <c r="C18">
        <f>LOG10(100)</f>
        <v/>
      </c>
    </row>
    <row r="19">
      <c r="A19" t="inlineStr">
        <is>
          <t>Math</t>
        </is>
      </c>
      <c r="B19" t="inlineStr">
        <is>
          <t>=LOG(8,2)</t>
        </is>
      </c>
      <c r="C19">
        <f>LOG(8,2)</f>
        <v/>
      </c>
    </row>
    <row r="20">
      <c r="A20" t="inlineStr">
        <is>
          <t>Math</t>
        </is>
      </c>
      <c r="B20" t="inlineStr">
        <is>
          <t>=PI()</t>
        </is>
      </c>
      <c r="C20">
        <f>PI()</f>
        <v/>
      </c>
    </row>
    <row r="21">
      <c r="A21" t="inlineStr">
        <is>
          <t>Math</t>
        </is>
      </c>
      <c r="B21" t="inlineStr">
        <is>
          <t>=CEILING(4.3,1)</t>
        </is>
      </c>
      <c r="C21">
        <f>CEILING(4.3,1)</f>
        <v/>
      </c>
    </row>
    <row r="22">
      <c r="A22" t="inlineStr">
        <is>
          <t>Math</t>
        </is>
      </c>
      <c r="B22" t="inlineStr">
        <is>
          <t>=FLOOR(4.7,1)</t>
        </is>
      </c>
      <c r="C22">
        <f>FLOOR(4.7,1)</f>
        <v/>
      </c>
    </row>
    <row r="23">
      <c r="A23" t="inlineStr">
        <is>
          <t>Math</t>
        </is>
      </c>
      <c r="B23" t="inlineStr">
        <is>
          <t>=MROUND(10,3)</t>
        </is>
      </c>
      <c r="C23">
        <f>MROUND(10,3)</f>
        <v/>
      </c>
    </row>
    <row r="24">
      <c r="A24" t="inlineStr">
        <is>
          <t>Math</t>
        </is>
      </c>
      <c r="B24" t="inlineStr">
        <is>
          <t>=SIGN(-2)</t>
        </is>
      </c>
      <c r="C24">
        <f>SIGN(-2)</f>
        <v/>
      </c>
    </row>
    <row r="25">
      <c r="A25" t="inlineStr">
        <is>
          <t>Math</t>
        </is>
      </c>
      <c r="B25" t="inlineStr">
        <is>
          <t>=FACT(5)</t>
        </is>
      </c>
      <c r="C25">
        <f>FACT(5)</f>
        <v/>
      </c>
    </row>
    <row r="26">
      <c r="A26" t="inlineStr">
        <is>
          <t>Math</t>
        </is>
      </c>
      <c r="B26" t="inlineStr">
        <is>
          <t>=COMBIN(5,2)</t>
        </is>
      </c>
      <c r="C26">
        <f>COMBIN(5,2)</f>
        <v/>
      </c>
    </row>
    <row r="27">
      <c r="A27" t="inlineStr">
        <is>
          <t>Math</t>
        </is>
      </c>
      <c r="B27" t="inlineStr">
        <is>
          <t>=GCD(12,18)</t>
        </is>
      </c>
      <c r="C27">
        <f>GCD(12,18)</f>
        <v/>
      </c>
    </row>
    <row r="28">
      <c r="A28" t="inlineStr">
        <is>
          <t>Math</t>
        </is>
      </c>
      <c r="B28" t="inlineStr">
        <is>
          <t>=LCM(4,6)</t>
        </is>
      </c>
      <c r="C28">
        <f>LCM(4,6)</f>
        <v/>
      </c>
    </row>
    <row r="29">
      <c r="A29" t="inlineStr">
        <is>
          <t>Math</t>
        </is>
      </c>
      <c r="B29" t="inlineStr">
        <is>
          <t>=SUBTOTAL(9,Data!A1:A20)</t>
        </is>
      </c>
      <c r="C29">
        <f>SUBTOTAL(9,Data!A1:A20)</f>
        <v/>
      </c>
    </row>
    <row r="30">
      <c r="A30" t="inlineStr">
        <is>
          <t>Math</t>
        </is>
      </c>
      <c r="B30" t="inlineStr">
        <is>
          <t>=SUBTOTAL(1,Data!A1:A20)</t>
        </is>
      </c>
      <c r="C30">
        <f>SUBTOTAL(1,Data!A1:A20)</f>
        <v/>
      </c>
    </row>
    <row r="31">
      <c r="A31" t="inlineStr">
        <is>
          <t>Math</t>
        </is>
      </c>
      <c r="B31" t="inlineStr">
        <is>
          <t>=AGGREGATE(9,6,Data!A1:A20)</t>
        </is>
      </c>
      <c r="C31">
        <f>AGGREGATE(9,6,Data!A1:A20)</f>
        <v/>
      </c>
    </row>
    <row r="32">
      <c r="A32" t="inlineStr">
        <is>
          <t>Math</t>
        </is>
      </c>
      <c r="B32" t="inlineStr">
        <is>
          <t>=PRODUCT(1,2,3,4)</t>
        </is>
      </c>
      <c r="C32">
        <f>PRODUCT(1,2,3,4)</f>
        <v/>
      </c>
    </row>
    <row r="33">
      <c r="A33" t="inlineStr">
        <is>
          <t>Math</t>
        </is>
      </c>
      <c r="B33" t="inlineStr">
        <is>
          <t>=QUOTIENT(17,5)</t>
        </is>
      </c>
      <c r="C33">
        <f>QUOTIENT(17,5)</f>
        <v/>
      </c>
    </row>
    <row r="34">
      <c r="A34" t="inlineStr">
        <is>
          <t>Math</t>
        </is>
      </c>
      <c r="B34" t="inlineStr">
        <is>
          <t>=EVEN(3)</t>
        </is>
      </c>
      <c r="C34">
        <f>EVEN(3)</f>
        <v/>
      </c>
    </row>
    <row r="35">
      <c r="A35" t="inlineStr">
        <is>
          <t>Math</t>
        </is>
      </c>
      <c r="B35" t="inlineStr">
        <is>
          <t>=ODD(4)</t>
        </is>
      </c>
      <c r="C35">
        <f>ODD(4)</f>
        <v/>
      </c>
    </row>
    <row r="36">
      <c r="A36" t="inlineStr">
        <is>
          <t>Math</t>
        </is>
      </c>
      <c r="B36" t="inlineStr">
        <is>
          <t>=RADIANS(180)</t>
        </is>
      </c>
      <c r="C36">
        <f>RADIANS(180)</f>
        <v/>
      </c>
    </row>
    <row r="37">
      <c r="A37" t="inlineStr">
        <is>
          <t>Math</t>
        </is>
      </c>
      <c r="B37" t="inlineStr">
        <is>
          <t>=DEGREES(PI())</t>
        </is>
      </c>
      <c r="C37">
        <f>DEGREES(PI())</f>
        <v/>
      </c>
    </row>
    <row r="38">
      <c r="A38" t="inlineStr">
        <is>
          <t>Math</t>
        </is>
      </c>
      <c r="B38" t="inlineStr">
        <is>
          <t>=SIN(PI()/2)</t>
        </is>
      </c>
      <c r="C38">
        <f>SIN(PI()/2)</f>
        <v/>
      </c>
    </row>
    <row r="39">
      <c r="A39" t="inlineStr">
        <is>
          <t>Math</t>
        </is>
      </c>
      <c r="B39" t="inlineStr">
        <is>
          <t>=COS(0)</t>
        </is>
      </c>
      <c r="C39">
        <f>COS(0)</f>
        <v/>
      </c>
    </row>
    <row r="40">
      <c r="A40" t="inlineStr">
        <is>
          <t>Math</t>
        </is>
      </c>
      <c r="B40" t="inlineStr">
        <is>
          <t>=TAN(PI()/4)</t>
        </is>
      </c>
      <c r="C40">
        <f>TAN(PI()/4)</f>
        <v/>
      </c>
    </row>
    <row r="41">
      <c r="A41" t="inlineStr">
        <is>
          <t>Math</t>
        </is>
      </c>
      <c r="B41" t="inlineStr">
        <is>
          <t>=ASIN(1)</t>
        </is>
      </c>
      <c r="C41">
        <f>ASIN(1)</f>
        <v/>
      </c>
    </row>
    <row r="42">
      <c r="A42" t="inlineStr">
        <is>
          <t>Math</t>
        </is>
      </c>
      <c r="B42" t="inlineStr">
        <is>
          <t>=ACOS(0)</t>
        </is>
      </c>
      <c r="C42">
        <f>ACOS(0)</f>
        <v/>
      </c>
    </row>
    <row r="43">
      <c r="A43" t="inlineStr">
        <is>
          <t>Math</t>
        </is>
      </c>
      <c r="B43" t="inlineStr">
        <is>
          <t>=ATAN(1)</t>
        </is>
      </c>
      <c r="C43">
        <f>ATAN(1)</f>
        <v/>
      </c>
    </row>
    <row r="44">
      <c r="A44" t="inlineStr">
        <is>
          <t>Math</t>
        </is>
      </c>
      <c r="B44" t="inlineStr">
        <is>
          <t>=ATAN2(1,1)</t>
        </is>
      </c>
      <c r="C44">
        <f>ATAN2(1,1)</f>
        <v/>
      </c>
    </row>
    <row r="45">
      <c r="A45" t="inlineStr">
        <is>
          <t>Math</t>
        </is>
      </c>
      <c r="B45" t="inlineStr">
        <is>
          <t>=SINH(1)</t>
        </is>
      </c>
      <c r="C45">
        <f>SINH(1)</f>
        <v/>
      </c>
    </row>
    <row r="46">
      <c r="A46" t="inlineStr">
        <is>
          <t>Math</t>
        </is>
      </c>
      <c r="B46" t="inlineStr">
        <is>
          <t>=COSH(1)</t>
        </is>
      </c>
      <c r="C46">
        <f>COSH(1)</f>
        <v/>
      </c>
    </row>
    <row r="47">
      <c r="A47" t="inlineStr">
        <is>
          <t>Math</t>
        </is>
      </c>
      <c r="B47" t="inlineStr">
        <is>
          <t>=TANH(1)</t>
        </is>
      </c>
      <c r="C47">
        <f>TANH(1)</f>
        <v/>
      </c>
    </row>
    <row r="48">
      <c r="A48" t="inlineStr">
        <is>
          <t>Math</t>
        </is>
      </c>
      <c r="B48" t="inlineStr">
        <is>
          <t>=SUMSQ(1,2,3)</t>
        </is>
      </c>
      <c r="C48">
        <f>SUMSQ(1,2,3)</f>
        <v/>
      </c>
    </row>
    <row r="49">
      <c r="A49" t="inlineStr">
        <is>
          <t>Math</t>
        </is>
      </c>
      <c r="B49" t="inlineStr">
        <is>
          <t>=ROMAN(1999)</t>
        </is>
      </c>
      <c r="C49">
        <f>ROMAN(1999)</f>
        <v/>
      </c>
    </row>
    <row r="50">
      <c r="A50" t="inlineStr">
        <is>
          <t>Math</t>
        </is>
      </c>
      <c r="B50" t="inlineStr">
        <is>
          <t>=ARABIC("MCMXCIX")</t>
        </is>
      </c>
      <c r="C50">
        <f>_xlfn.ARABIC("MCMXCIX")</f>
        <v/>
      </c>
    </row>
    <row r="51">
      <c r="A51" t="inlineStr">
        <is>
          <t>Math</t>
        </is>
      </c>
      <c r="B51" t="inlineStr">
        <is>
          <t>=MULTINOMIAL(2,3)</t>
        </is>
      </c>
      <c r="C51">
        <f>MULTINOMIAL(2,3)</f>
        <v/>
      </c>
    </row>
    <row r="52">
      <c r="A52" t="inlineStr">
        <is>
          <t>Math</t>
        </is>
      </c>
      <c r="B52" t="inlineStr">
        <is>
          <t>=CEILING.MATH(4.3)</t>
        </is>
      </c>
      <c r="C52">
        <f>_xlfn.CEILING.MATH(4.3)</f>
        <v/>
      </c>
    </row>
    <row r="53">
      <c r="A53" t="inlineStr">
        <is>
          <t>Math</t>
        </is>
      </c>
      <c r="B53" t="inlineStr">
        <is>
          <t>=FLOOR.MATH(-4.3)</t>
        </is>
      </c>
      <c r="C53">
        <f>_xlfn.FLOOR.MATH(-4.3)</f>
        <v/>
      </c>
    </row>
    <row r="54">
      <c r="A54" t="inlineStr">
        <is>
          <t>Math</t>
        </is>
      </c>
      <c r="B54" t="inlineStr">
        <is>
          <t>=SQRTPI(1)</t>
        </is>
      </c>
      <c r="C54">
        <f>SQRTPI(1)</f>
        <v/>
      </c>
    </row>
    <row r="55">
      <c r="A55" t="inlineStr">
        <is>
          <t>Math</t>
        </is>
      </c>
      <c r="B55" t="inlineStr">
        <is>
          <t>=FACTDOUBLE(6)</t>
        </is>
      </c>
      <c r="C55">
        <f>FACTDOUBLE(6)</f>
        <v/>
      </c>
    </row>
    <row r="56">
      <c r="A56" t="inlineStr">
        <is>
          <t>Math</t>
        </is>
      </c>
      <c r="B56" t="inlineStr">
        <is>
          <t>=PERMUT(5,2)</t>
        </is>
      </c>
      <c r="C56">
        <f>PERMUT(5,2)</f>
        <v/>
      </c>
    </row>
    <row r="57">
      <c r="A57" t="inlineStr">
        <is>
          <t>Statistical</t>
        </is>
      </c>
      <c r="B57" t="inlineStr">
        <is>
          <t>=AVERAGE(Data!A1:A20)</t>
        </is>
      </c>
      <c r="C57">
        <f>AVERAGE(Data!A1:A20)</f>
        <v/>
      </c>
    </row>
    <row r="58">
      <c r="A58" t="inlineStr">
        <is>
          <t>Statistical</t>
        </is>
      </c>
      <c r="B58" t="inlineStr">
        <is>
          <t>=AVERAGEIF(Data!A1:A20,"&gt;10")</t>
        </is>
      </c>
      <c r="C58">
        <f>AVERAGEIF(Data!A1:A20,"&gt;10")</f>
        <v/>
      </c>
    </row>
    <row r="59">
      <c r="A59" t="inlineStr">
        <is>
          <t>Statistical</t>
        </is>
      </c>
      <c r="B59" t="inlineStr">
        <is>
          <t>=AVERAGEIFS(Data!A1:A20,Data!A1:A20,"&gt;2",Data!A1:A20,"&lt;18")</t>
        </is>
      </c>
      <c r="C59">
        <f>AVERAGEIFS(Data!A1:A20,Data!A1:A20,"&gt;2",Data!A1:A20,"&lt;18")</f>
        <v/>
      </c>
    </row>
    <row r="60">
      <c r="A60" t="inlineStr">
        <is>
          <t>Statistical</t>
        </is>
      </c>
      <c r="B60" t="inlineStr">
        <is>
          <t>=COUNT(Data!A1:C20)</t>
        </is>
      </c>
      <c r="C60">
        <f>COUNT(Data!A1:C20)</f>
        <v/>
      </c>
    </row>
    <row r="61">
      <c r="A61" t="inlineStr">
        <is>
          <t>Statistical</t>
        </is>
      </c>
      <c r="B61" t="inlineStr">
        <is>
          <t>=COUNTA(Data!A1:C20)</t>
        </is>
      </c>
      <c r="C61">
        <f>COUNTA(Data!A1:C20)</f>
        <v/>
      </c>
    </row>
    <row r="62">
      <c r="A62" t="inlineStr">
        <is>
          <t>Statistical</t>
        </is>
      </c>
      <c r="B62" t="inlineStr">
        <is>
          <t>=COUNTBLANK(Data!D1:D20)</t>
        </is>
      </c>
      <c r="C62">
        <f>COUNTBLANK(Data!D1:D20)</f>
        <v/>
      </c>
    </row>
    <row r="63">
      <c r="A63" t="inlineStr">
        <is>
          <t>Statistical</t>
        </is>
      </c>
      <c r="B63" t="inlineStr">
        <is>
          <t>=COUNTIF(Data!B1:B20,"a*")</t>
        </is>
      </c>
      <c r="C63">
        <f>COUNTIF(Data!B1:B20,"a*")</f>
        <v/>
      </c>
    </row>
    <row r="64">
      <c r="A64" t="inlineStr">
        <is>
          <t>Statistical</t>
        </is>
      </c>
      <c r="B64" t="inlineStr">
        <is>
          <t>=COUNTIFS(Data!A1:A20,"&gt;5",Data!B1:B20,"&lt;&gt;")</t>
        </is>
      </c>
      <c r="C64">
        <f>COUNTIFS(Data!A1:A20,"&gt;5",Data!B1:B20,"&lt;&gt;")</f>
        <v/>
      </c>
    </row>
    <row r="65">
      <c r="A65" t="inlineStr">
        <is>
          <t>Statistical</t>
        </is>
      </c>
      <c r="B65" t="inlineStr">
        <is>
          <t>=MIN(Data!A1:A20)</t>
        </is>
      </c>
      <c r="C65">
        <f>MIN(Data!A1:A20)</f>
        <v/>
      </c>
    </row>
    <row r="66">
      <c r="A66" t="inlineStr">
        <is>
          <t>Statistical</t>
        </is>
      </c>
      <c r="B66" t="inlineStr">
        <is>
          <t>=MAX(Data!A1:A20)</t>
        </is>
      </c>
      <c r="C66">
        <f>MAX(Data!A1:A20)</f>
        <v/>
      </c>
    </row>
    <row r="67">
      <c r="A67" t="inlineStr">
        <is>
          <t>Statistical</t>
        </is>
      </c>
      <c r="B67" t="inlineStr">
        <is>
          <t>=MEDIAN(Data!A1:A20)</t>
        </is>
      </c>
      <c r="C67">
        <f>MEDIAN(Data!A1:A20)</f>
        <v/>
      </c>
    </row>
    <row r="68">
      <c r="A68" t="inlineStr">
        <is>
          <t>Statistical</t>
        </is>
      </c>
      <c r="B68" t="inlineStr">
        <is>
          <t>=MODE(1,2,2,3)</t>
        </is>
      </c>
      <c r="C68">
        <f>MODE(1,2,2,3)</f>
        <v/>
      </c>
    </row>
    <row r="69">
      <c r="A69" t="inlineStr">
        <is>
          <t>Statistical</t>
        </is>
      </c>
      <c r="B69" t="inlineStr">
        <is>
          <t>=MODE.SNGL(1,2,2,3)</t>
        </is>
      </c>
      <c r="C69">
        <f>_xlfn.MODE.SNGL(1,2,2,3)</f>
        <v/>
      </c>
    </row>
    <row r="70">
      <c r="A70" t="inlineStr">
        <is>
          <t>Statistical</t>
        </is>
      </c>
      <c r="B70" t="inlineStr">
        <is>
          <t>=STDEV(Data!A1:A20)</t>
        </is>
      </c>
      <c r="C70">
        <f>STDEV(Data!A1:A20)</f>
        <v/>
      </c>
    </row>
    <row r="71">
      <c r="A71" t="inlineStr">
        <is>
          <t>Statistical</t>
        </is>
      </c>
      <c r="B71" t="inlineStr">
        <is>
          <t>=STDEV.S(Data!A1:A20)</t>
        </is>
      </c>
      <c r="C71">
        <f>_xlfn.STDEV.S(Data!A1:A20)</f>
        <v/>
      </c>
    </row>
    <row r="72">
      <c r="A72" t="inlineStr">
        <is>
          <t>Statistical</t>
        </is>
      </c>
      <c r="B72" t="inlineStr">
        <is>
          <t>=STDEV.P(Data!A1:A20)</t>
        </is>
      </c>
      <c r="C72">
        <f>_xlfn.STDEV.P(Data!A1:A20)</f>
        <v/>
      </c>
    </row>
    <row r="73">
      <c r="A73" t="inlineStr">
        <is>
          <t>Statistical</t>
        </is>
      </c>
      <c r="B73" t="inlineStr">
        <is>
          <t>=VAR(Data!A1:A20)</t>
        </is>
      </c>
      <c r="C73">
        <f>VAR(Data!A1:A20)</f>
        <v/>
      </c>
    </row>
    <row r="74">
      <c r="A74" t="inlineStr">
        <is>
          <t>Statistical</t>
        </is>
      </c>
      <c r="B74" t="inlineStr">
        <is>
          <t>=VAR.S(Data!A1:A20)</t>
        </is>
      </c>
      <c r="C74">
        <f>_xlfn.VAR.S(Data!A1:A20)</f>
        <v/>
      </c>
    </row>
    <row r="75">
      <c r="A75" t="inlineStr">
        <is>
          <t>Statistical</t>
        </is>
      </c>
      <c r="B75" t="inlineStr">
        <is>
          <t>=VAR.P(Data!A1:A20)</t>
        </is>
      </c>
      <c r="C75">
        <f>_xlfn.VAR.P(Data!A1:A20)</f>
        <v/>
      </c>
    </row>
    <row r="76">
      <c r="A76" t="inlineStr">
        <is>
          <t>Statistical</t>
        </is>
      </c>
      <c r="B76" t="inlineStr">
        <is>
          <t>=LARGE(Data!A1:A20,2)</t>
        </is>
      </c>
      <c r="C76">
        <f>LARGE(Data!A1:A20,2)</f>
        <v/>
      </c>
    </row>
    <row r="77">
      <c r="A77" t="inlineStr">
        <is>
          <t>Statistical</t>
        </is>
      </c>
      <c r="B77" t="inlineStr">
        <is>
          <t>=SMALL(Data!A1:A20,2)</t>
        </is>
      </c>
      <c r="C77">
        <f>SMALL(Data!A1:A20,2)</f>
        <v/>
      </c>
    </row>
    <row r="78">
      <c r="A78" t="inlineStr">
        <is>
          <t>Statistical</t>
        </is>
      </c>
      <c r="B78" t="inlineStr">
        <is>
          <t>=RANK(5,Data!A1:A20)</t>
        </is>
      </c>
      <c r="C78">
        <f>RANK(5,Data!A1:A20)</f>
        <v/>
      </c>
    </row>
    <row r="79">
      <c r="A79" t="inlineStr">
        <is>
          <t>Statistical</t>
        </is>
      </c>
      <c r="B79" t="inlineStr">
        <is>
          <t>=RANK.EQ(5,Data!A1:A20)</t>
        </is>
      </c>
      <c r="C79">
        <f>_xlfn.RANK.EQ(5,Data!A1:A20)</f>
        <v/>
      </c>
    </row>
    <row r="80">
      <c r="A80" t="inlineStr">
        <is>
          <t>Statistical</t>
        </is>
      </c>
      <c r="B80" t="inlineStr">
        <is>
          <t>=PERCENTILE(Data!A1:A20,0.9)</t>
        </is>
      </c>
      <c r="C80">
        <f>PERCENTILE(Data!A1:A20,0.9)</f>
        <v/>
      </c>
    </row>
    <row r="81">
      <c r="A81" t="inlineStr">
        <is>
          <t>Statistical</t>
        </is>
      </c>
      <c r="B81" t="inlineStr">
        <is>
          <t>=PERCENTILE.INC(Data!A1:A20,0.9)</t>
        </is>
      </c>
      <c r="C81">
        <f>_xlfn.PERCENTILE.INC(Data!A1:A20,0.9)</f>
        <v/>
      </c>
    </row>
    <row r="82">
      <c r="A82" t="inlineStr">
        <is>
          <t>Statistical</t>
        </is>
      </c>
      <c r="B82" t="inlineStr">
        <is>
          <t>=QUARTILE(Data!A1:A20,1)</t>
        </is>
      </c>
      <c r="C82">
        <f>QUARTILE(Data!A1:A20,1)</f>
        <v/>
      </c>
    </row>
    <row r="83">
      <c r="A83" t="inlineStr">
        <is>
          <t>Statistical</t>
        </is>
      </c>
      <c r="B83" t="inlineStr">
        <is>
          <t>=QUARTILE.INC(Data!A1:A20,3)</t>
        </is>
      </c>
      <c r="C83">
        <f>_xlfn.QUARTILE.INC(Data!A1:A20,3)</f>
        <v/>
      </c>
    </row>
    <row r="84">
      <c r="A84" t="inlineStr">
        <is>
          <t>Statistical</t>
        </is>
      </c>
      <c r="B84" t="inlineStr">
        <is>
          <t>=CORREL(Data!A1:A10,Data!A11:A20)</t>
        </is>
      </c>
      <c r="C84">
        <f>CORREL(Data!A1:A10,Data!A11:A20)</f>
        <v/>
      </c>
    </row>
    <row r="85">
      <c r="A85" t="inlineStr">
        <is>
          <t>Statistical</t>
        </is>
      </c>
      <c r="B85" t="inlineStr">
        <is>
          <t>=FORECAST(5,Data!A1:A10,Data!A11:A20)</t>
        </is>
      </c>
      <c r="C85">
        <f>FORECAST(5,Data!A1:A10,Data!A11:A20)</f>
        <v/>
      </c>
    </row>
    <row r="86">
      <c r="A86" t="inlineStr">
        <is>
          <t>Statistical</t>
        </is>
      </c>
      <c r="B86" t="inlineStr">
        <is>
          <t>=NORM.DIST(1,0,1,TRUE)</t>
        </is>
      </c>
      <c r="C86">
        <f>_xlfn.NORM.DIST(1,0,1,TRUE)</f>
        <v/>
      </c>
    </row>
    <row r="87">
      <c r="A87" t="inlineStr">
        <is>
          <t>Statistical</t>
        </is>
      </c>
      <c r="B87" t="inlineStr">
        <is>
          <t>=NORMSDIST(1)</t>
        </is>
      </c>
      <c r="C87">
        <f>NORMSDIST(1)</f>
        <v/>
      </c>
    </row>
    <row r="88">
      <c r="A88" t="inlineStr">
        <is>
          <t>Statistical</t>
        </is>
      </c>
      <c r="B88" t="inlineStr">
        <is>
          <t>=NORM.INV(0.9,0,1)</t>
        </is>
      </c>
      <c r="C88">
        <f>_xlfn.NORM.INV(0.9,0,1)</f>
        <v/>
      </c>
    </row>
    <row r="89">
      <c r="A89" t="inlineStr">
        <is>
          <t>Statistical</t>
        </is>
      </c>
      <c r="B89" t="inlineStr">
        <is>
          <t>=T.DIST(1,10,TRUE)</t>
        </is>
      </c>
      <c r="C89">
        <f>_xlfn.T.DIST(1,10,TRUE)</f>
        <v/>
      </c>
    </row>
    <row r="90">
      <c r="A90" t="inlineStr">
        <is>
          <t>Statistical</t>
        </is>
      </c>
      <c r="B90" t="inlineStr">
        <is>
          <t>=MAXA(Data!A1:A20)</t>
        </is>
      </c>
      <c r="C90">
        <f>MAXA(Data!A1:A20)</f>
        <v/>
      </c>
    </row>
    <row r="91">
      <c r="A91" t="inlineStr">
        <is>
          <t>Statistical</t>
        </is>
      </c>
      <c r="B91" t="inlineStr">
        <is>
          <t>=MINA(Data!A1:A20)</t>
        </is>
      </c>
      <c r="C91">
        <f>MINA(Data!A1:A20)</f>
        <v/>
      </c>
    </row>
    <row r="92">
      <c r="A92" t="inlineStr">
        <is>
          <t>Statistical</t>
        </is>
      </c>
      <c r="B92" t="inlineStr">
        <is>
          <t>=AVERAGEA(Data!A1:A20)</t>
        </is>
      </c>
      <c r="C92">
        <f>AVERAGEA(Data!A1:A20)</f>
        <v/>
      </c>
    </row>
    <row r="93">
      <c r="A93" t="inlineStr">
        <is>
          <t>Statistical</t>
        </is>
      </c>
      <c r="B93" t="inlineStr">
        <is>
          <t>=GEOMEAN(1,2,4)</t>
        </is>
      </c>
      <c r="C93">
        <f>GEOMEAN(1,2,4)</f>
        <v/>
      </c>
    </row>
    <row r="94">
      <c r="A94" t="inlineStr">
        <is>
          <t>Statistical</t>
        </is>
      </c>
      <c r="B94" t="inlineStr">
        <is>
          <t>=HARMEAN(1,2,4)</t>
        </is>
      </c>
      <c r="C94">
        <f>HARMEAN(1,2,4)</f>
        <v/>
      </c>
    </row>
    <row r="95">
      <c r="A95" t="inlineStr">
        <is>
          <t>Statistical</t>
        </is>
      </c>
      <c r="B95" t="inlineStr">
        <is>
          <t>=DEVSQ(Data!A1:A20)</t>
        </is>
      </c>
      <c r="C95">
        <f>DEVSQ(Data!A1:A20)</f>
        <v/>
      </c>
    </row>
    <row r="96">
      <c r="A96" t="inlineStr">
        <is>
          <t>Statistical</t>
        </is>
      </c>
      <c r="B96" t="inlineStr">
        <is>
          <t>=SLOPE(Data!A1:A10,Data!A11:A20)</t>
        </is>
      </c>
      <c r="C96">
        <f>SLOPE(Data!A1:A10,Data!A11:A20)</f>
        <v/>
      </c>
    </row>
    <row r="97">
      <c r="A97" t="inlineStr">
        <is>
          <t>Statistical</t>
        </is>
      </c>
      <c r="B97" t="inlineStr">
        <is>
          <t>=INTERCEPT(Data!A1:A10,Data!A11:A20)</t>
        </is>
      </c>
      <c r="C97">
        <f>INTERCEPT(Data!A1:A10,Data!A11:A20)</f>
        <v/>
      </c>
    </row>
    <row r="98">
      <c r="A98" t="inlineStr">
        <is>
          <t>Statistical</t>
        </is>
      </c>
      <c r="B98" t="inlineStr">
        <is>
          <t>=RSQ(Data!A1:A10,Data!A11:A20)</t>
        </is>
      </c>
      <c r="C98">
        <f>RSQ(Data!A1:A10,Data!A11:A20)</f>
        <v/>
      </c>
    </row>
    <row r="99">
      <c r="A99" t="inlineStr">
        <is>
          <t>Statistical</t>
        </is>
      </c>
      <c r="B99" t="inlineStr">
        <is>
          <t>=MAXIFS(Data!A1:A20,Data!A1:A20,"&lt;10")</t>
        </is>
      </c>
      <c r="C99">
        <f>_xlfn.MAXIFS(Data!A1:A20,Data!A1:A20,"&lt;10")</f>
        <v/>
      </c>
    </row>
    <row r="100">
      <c r="A100" t="inlineStr">
        <is>
          <t>Statistical</t>
        </is>
      </c>
      <c r="B100" t="inlineStr">
        <is>
          <t>=MINIFS(Data!A1:A20,Data!A1:A20,"&gt;10")</t>
        </is>
      </c>
      <c r="C100">
        <f>_xlfn.MINIFS(Data!A1:A20,Data!A1:A20,"&gt;10")</f>
        <v/>
      </c>
    </row>
    <row r="101">
      <c r="A101" t="inlineStr">
        <is>
          <t>Statistical</t>
        </is>
      </c>
      <c r="B101" t="inlineStr">
        <is>
          <t>=STANDARDIZE(5,10,2)</t>
        </is>
      </c>
      <c r="C101">
        <f>STANDARDIZE(5,10,2)</f>
        <v/>
      </c>
    </row>
    <row r="102">
      <c r="A102" t="inlineStr">
        <is>
          <t>Statistical</t>
        </is>
      </c>
      <c r="B102" t="inlineStr">
        <is>
          <t>=PERCENTRANK.INC(Data!A1:A20,7)</t>
        </is>
      </c>
      <c r="C102">
        <f>_xlfn.PERCENTRANK.INC(Data!A1:A20,7)</f>
        <v/>
      </c>
    </row>
    <row r="103">
      <c r="A103" t="inlineStr">
        <is>
          <t>Statistical</t>
        </is>
      </c>
      <c r="B103" t="inlineStr">
        <is>
          <t>=KURT(Data!A1:A20)</t>
        </is>
      </c>
      <c r="C103">
        <f>KURT(Data!A1:A20)</f>
        <v/>
      </c>
    </row>
    <row r="104">
      <c r="A104" t="inlineStr">
        <is>
          <t>Statistical</t>
        </is>
      </c>
      <c r="B104" t="inlineStr">
        <is>
          <t>=SKEW(Data!A1:A20)</t>
        </is>
      </c>
      <c r="C104">
        <f>SKEW(Data!A1:A20)</f>
        <v/>
      </c>
    </row>
    <row r="105">
      <c r="A105" t="inlineStr">
        <is>
          <t>Statistical</t>
        </is>
      </c>
      <c r="B105" t="inlineStr">
        <is>
          <t>=AVEDEV(Data!A1:A20)</t>
        </is>
      </c>
      <c r="C105">
        <f>AVEDEV(Data!A1:A20)</f>
        <v/>
      </c>
    </row>
    <row r="106">
      <c r="A106" t="inlineStr">
        <is>
          <t>Statistical</t>
        </is>
      </c>
      <c r="B106" t="inlineStr">
        <is>
          <t>=COVAR(Data!A1:A10,Data!A11:A20)</t>
        </is>
      </c>
      <c r="C106">
        <f>COVAR(Data!A1:A10,Data!A11:A20)</f>
        <v/>
      </c>
    </row>
    <row r="107">
      <c r="A107" t="inlineStr">
        <is>
          <t>Logical</t>
        </is>
      </c>
      <c r="B107" t="inlineStr">
        <is>
          <t>=IF(Data!A1&gt;5,"big","small")</t>
        </is>
      </c>
      <c r="C107">
        <f>IF(Data!A1&gt;5,"big","small")</f>
        <v/>
      </c>
    </row>
    <row r="108">
      <c r="A108" t="inlineStr">
        <is>
          <t>Logical</t>
        </is>
      </c>
      <c r="B108" t="inlineStr">
        <is>
          <t>=AND(TRUE,Data!A2&gt;0)</t>
        </is>
      </c>
      <c r="C108">
        <f>AND(TRUE,Data!A2&gt;0)</f>
        <v/>
      </c>
    </row>
    <row r="109">
      <c r="A109" t="inlineStr">
        <is>
          <t>Logical</t>
        </is>
      </c>
      <c r="B109" t="inlineStr">
        <is>
          <t>=OR(FALSE,Data!A3&gt;100)</t>
        </is>
      </c>
      <c r="C109">
        <f>OR(FALSE,Data!A3&gt;100)</f>
        <v/>
      </c>
    </row>
    <row r="110">
      <c r="A110" t="inlineStr">
        <is>
          <t>Logical</t>
        </is>
      </c>
      <c r="B110" t="inlineStr">
        <is>
          <t>=NOT(Data!A4&gt;3)</t>
        </is>
      </c>
      <c r="C110">
        <f>NOT(Data!A4&gt;3)</f>
        <v/>
      </c>
    </row>
    <row r="111">
      <c r="A111" t="inlineStr">
        <is>
          <t>Logical</t>
        </is>
      </c>
      <c r="B111" t="inlineStr">
        <is>
          <t>=XOR(TRUE,FALSE)</t>
        </is>
      </c>
      <c r="C111">
        <f>_xlfn.XOR(TRUE,FALSE)</f>
        <v/>
      </c>
    </row>
    <row r="112">
      <c r="A112" t="inlineStr">
        <is>
          <t>Logical</t>
        </is>
      </c>
      <c r="B112" t="inlineStr">
        <is>
          <t>=IFERROR(1/0,"div0")</t>
        </is>
      </c>
      <c r="C112">
        <f>IFERROR(1/0,"div0")</f>
        <v/>
      </c>
    </row>
    <row r="113">
      <c r="A113" t="inlineStr">
        <is>
          <t>Logical</t>
        </is>
      </c>
      <c r="B113" t="inlineStr">
        <is>
          <t>=IFNA(NA(),"na")</t>
        </is>
      </c>
      <c r="C113">
        <f>_xlfn.IFNA(NA(),"na")</f>
        <v/>
      </c>
    </row>
    <row r="114">
      <c r="A114" t="inlineStr">
        <is>
          <t>Logical</t>
        </is>
      </c>
      <c r="B114" t="inlineStr">
        <is>
          <t>=IFS(Data!A1&gt;15,"high",Data!A1&gt;5,"mid",TRUE,"low")</t>
        </is>
      </c>
      <c r="C114">
        <f>_xlfn.IFS(Data!A1&gt;15,"high",Data!A1&gt;5,"mid",TRUE,"low")</f>
        <v/>
      </c>
    </row>
    <row r="115">
      <c r="A115" t="inlineStr">
        <is>
          <t>Logical</t>
        </is>
      </c>
      <c r="B115" t="inlineStr">
        <is>
          <t>=SWITCH(Data!A2,1,"one",2,"two","other")</t>
        </is>
      </c>
      <c r="C115">
        <f>_xlfn.SWITCH(Data!A2,1,"one",2,"two","other")</f>
        <v/>
      </c>
    </row>
    <row r="116">
      <c r="A116" t="inlineStr">
        <is>
          <t>Logical</t>
        </is>
      </c>
      <c r="B116" t="inlineStr">
        <is>
          <t>=TRUE()</t>
        </is>
      </c>
      <c r="C116">
        <f>TRUE()</f>
        <v/>
      </c>
    </row>
    <row r="117">
      <c r="A117" t="inlineStr">
        <is>
          <t>Logical</t>
        </is>
      </c>
      <c r="B117" t="inlineStr">
        <is>
          <t>=FALSE()</t>
        </is>
      </c>
      <c r="C117">
        <f>FALSE()</f>
        <v/>
      </c>
    </row>
    <row r="118">
      <c r="A118" t="inlineStr">
        <is>
          <t>Logical</t>
        </is>
      </c>
      <c r="B118" t="inlineStr">
        <is>
          <t>=IF(AND(Data!A1&gt;0,Data!A2&gt;0),"both","no")</t>
        </is>
      </c>
      <c r="C118">
        <f>IF(AND(Data!A1&gt;0,Data!A2&gt;0),"both","no")</f>
        <v/>
      </c>
    </row>
    <row r="119">
      <c r="A119" t="inlineStr">
        <is>
          <t>Logical</t>
        </is>
      </c>
      <c r="B119" t="inlineStr">
        <is>
          <t>=IF(Data!A1&gt;10,IF(Data!A1&gt;15,"A","B"),"C")</t>
        </is>
      </c>
      <c r="C119">
        <f>IF(Data!A1&gt;10,IF(Data!A1&gt;15,"A","B"),"C")</f>
        <v/>
      </c>
    </row>
    <row r="120">
      <c r="A120" t="inlineStr">
        <is>
          <t>Logical</t>
        </is>
      </c>
      <c r="B120" t="inlineStr">
        <is>
          <t>=IFERROR(VLOOKUP(999,Data!A1:B20,2,FALSE),-1)</t>
        </is>
      </c>
      <c r="C120">
        <f>IFERROR(VLOOKUP(999,Data!A1:B20,2,FALSE),-1)</f>
        <v/>
      </c>
    </row>
    <row r="121">
      <c r="A121" t="inlineStr">
        <is>
          <t>Logical</t>
        </is>
      </c>
      <c r="B121" t="inlineStr">
        <is>
          <t>=IF(ISBLANK(Data!D1),"empty","full")</t>
        </is>
      </c>
      <c r="C121">
        <f>IF(ISBLANK(Data!D1),"empty","full")</f>
        <v/>
      </c>
    </row>
    <row r="122">
      <c r="A122" t="inlineStr">
        <is>
          <t>Logical</t>
        </is>
      </c>
      <c r="B122" t="inlineStr">
        <is>
          <t>=NOT(OR(Data!A1&gt;100,Data!A2&gt;100))</t>
        </is>
      </c>
      <c r="C122">
        <f>NOT(OR(Data!A1&gt;100,Data!A2&gt;100))</f>
        <v/>
      </c>
    </row>
    <row r="123">
      <c r="A123" t="inlineStr">
        <is>
          <t>Logical</t>
        </is>
      </c>
      <c r="B123" t="inlineStr">
        <is>
          <t>=IF(Data!A3="","blank",Data!A3*2)</t>
        </is>
      </c>
      <c r="C123">
        <f>IF(Data!A3="","blank",Data!A3*2)</f>
        <v/>
      </c>
    </row>
    <row r="124">
      <c r="A124" t="inlineStr">
        <is>
          <t>Logical</t>
        </is>
      </c>
      <c r="B124" t="inlineStr">
        <is>
          <t>=AND(Data!A1:A5&gt;0)</t>
        </is>
      </c>
      <c r="C124">
        <f>AND(Data!A1:A5&gt;0)</f>
        <v/>
      </c>
    </row>
    <row r="125">
      <c r="A125" t="inlineStr">
        <is>
          <t>Text</t>
        </is>
      </c>
      <c r="B125" t="inlineStr">
        <is>
          <t>=CONCATENATE("Offi","cina")</t>
        </is>
      </c>
      <c r="C125">
        <f>CONCATENATE("Offi","cina")</f>
        <v/>
      </c>
    </row>
    <row r="126">
      <c r="A126" t="inlineStr">
        <is>
          <t>Text</t>
        </is>
      </c>
      <c r="B126" t="inlineStr">
        <is>
          <t>=CONCAT("A","B","C")</t>
        </is>
      </c>
      <c r="C126">
        <f>_xlfn.CONCAT("A","B","C")</f>
        <v/>
      </c>
    </row>
    <row r="127">
      <c r="A127" t="inlineStr">
        <is>
          <t>Text</t>
        </is>
      </c>
      <c r="B127" t="inlineStr">
        <is>
          <t>=Data!B1&amp;" "&amp;Data!B2</t>
        </is>
      </c>
      <c r="C127">
        <f>Data!B1&amp;" "&amp;Data!B2</f>
        <v/>
      </c>
    </row>
    <row r="128">
      <c r="A128" t="inlineStr">
        <is>
          <t>Text</t>
        </is>
      </c>
      <c r="B128" t="inlineStr">
        <is>
          <t>=TEXT(1234.5,"#,##0.00")</t>
        </is>
      </c>
      <c r="C128">
        <f>TEXT(1234.5,"#,##0.00")</f>
        <v/>
      </c>
    </row>
    <row r="129">
      <c r="A129" t="inlineStr">
        <is>
          <t>Text</t>
        </is>
      </c>
      <c r="B129" t="inlineStr">
        <is>
          <t>=TEXT(46037,"yyyy-mm-dd")</t>
        </is>
      </c>
      <c r="C129">
        <f>TEXT(46037,"yyyy-mm-dd")</f>
        <v/>
      </c>
    </row>
    <row r="130">
      <c r="A130" t="inlineStr">
        <is>
          <t>Text</t>
        </is>
      </c>
      <c r="B130" t="inlineStr">
        <is>
          <t>=TEXTJOIN(", ",TRUE,Data!B1:B5)</t>
        </is>
      </c>
      <c r="C130">
        <f>_xlfn.TEXTJOIN(", ",TRUE,Data!B1:B5)</f>
        <v/>
      </c>
    </row>
    <row r="131">
      <c r="A131" t="inlineStr">
        <is>
          <t>Text</t>
        </is>
      </c>
      <c r="B131" t="inlineStr">
        <is>
          <t>=LEFT("Officina",4)</t>
        </is>
      </c>
      <c r="C131">
        <f>LEFT("Officina",4)</f>
        <v/>
      </c>
    </row>
    <row r="132">
      <c r="A132" t="inlineStr">
        <is>
          <t>Text</t>
        </is>
      </c>
      <c r="B132" t="inlineStr">
        <is>
          <t>=RIGHT("Officina",3)</t>
        </is>
      </c>
      <c r="C132">
        <f>RIGHT("Officina",3)</f>
        <v/>
      </c>
    </row>
    <row r="133">
      <c r="A133" t="inlineStr">
        <is>
          <t>Text</t>
        </is>
      </c>
      <c r="B133" t="inlineStr">
        <is>
          <t>=MID("Officina",3,4)</t>
        </is>
      </c>
      <c r="C133">
        <f>MID("Officina",3,4)</f>
        <v/>
      </c>
    </row>
    <row r="134">
      <c r="A134" t="inlineStr">
        <is>
          <t>Text</t>
        </is>
      </c>
      <c r="B134" t="inlineStr">
        <is>
          <t>=LEN("Officina")</t>
        </is>
      </c>
      <c r="C134">
        <f>LEN("Officina")</f>
        <v/>
      </c>
    </row>
    <row r="135">
      <c r="A135" t="inlineStr">
        <is>
          <t>Text</t>
        </is>
      </c>
      <c r="B135" t="inlineStr">
        <is>
          <t>=FIND("c","Officina")</t>
        </is>
      </c>
      <c r="C135">
        <f>FIND("c","Officina")</f>
        <v/>
      </c>
    </row>
    <row r="136">
      <c r="A136" t="inlineStr">
        <is>
          <t>Text</t>
        </is>
      </c>
      <c r="B136" t="inlineStr">
        <is>
          <t>=SEARCH("I","Officina")</t>
        </is>
      </c>
      <c r="C136">
        <f>SEARCH("I","Officina")</f>
        <v/>
      </c>
    </row>
    <row r="137">
      <c r="A137" t="inlineStr">
        <is>
          <t>Text</t>
        </is>
      </c>
      <c r="B137" t="inlineStr">
        <is>
          <t>=SUBSTITUTE("a-b-c","-","+")</t>
        </is>
      </c>
      <c r="C137">
        <f>SUBSTITUTE("a-b-c","-","+")</f>
        <v/>
      </c>
    </row>
    <row r="138">
      <c r="A138" t="inlineStr">
        <is>
          <t>Text</t>
        </is>
      </c>
      <c r="B138" t="inlineStr">
        <is>
          <t>=REPLACE("Officina",1,1,"o")</t>
        </is>
      </c>
      <c r="C138">
        <f>REPLACE("Officina",1,1,"o")</f>
        <v/>
      </c>
    </row>
    <row r="139">
      <c r="A139" t="inlineStr">
        <is>
          <t>Text</t>
        </is>
      </c>
      <c r="B139" t="inlineStr">
        <is>
          <t>=TRIM("  spaced   out  ")</t>
        </is>
      </c>
      <c r="C139">
        <f>TRIM("  spaced   out  ")</f>
        <v/>
      </c>
    </row>
    <row r="140">
      <c r="A140" t="inlineStr">
        <is>
          <t>Text</t>
        </is>
      </c>
      <c r="B140" t="inlineStr">
        <is>
          <t>=CLEAN(CHAR(7)&amp;"x")</t>
        </is>
      </c>
      <c r="C140">
        <f>CLEAN(CHAR(7)&amp;"x")</f>
        <v/>
      </c>
    </row>
    <row r="141">
      <c r="A141" t="inlineStr">
        <is>
          <t>Text</t>
        </is>
      </c>
      <c r="B141" t="inlineStr">
        <is>
          <t>=UPPER("officina")</t>
        </is>
      </c>
      <c r="C141">
        <f>UPPER("officina")</f>
        <v/>
      </c>
    </row>
    <row r="142">
      <c r="A142" t="inlineStr">
        <is>
          <t>Text</t>
        </is>
      </c>
      <c r="B142" t="inlineStr">
        <is>
          <t>=LOWER("OFFICINA")</t>
        </is>
      </c>
      <c r="C142">
        <f>LOWER("OFFICINA")</f>
        <v/>
      </c>
    </row>
    <row r="143">
      <c r="A143" t="inlineStr">
        <is>
          <t>Text</t>
        </is>
      </c>
      <c r="B143" t="inlineStr">
        <is>
          <t>=PROPER("hello world")</t>
        </is>
      </c>
      <c r="C143">
        <f>PROPER("hello world")</f>
        <v/>
      </c>
    </row>
    <row r="144">
      <c r="A144" t="inlineStr">
        <is>
          <t>Text</t>
        </is>
      </c>
      <c r="B144" t="inlineStr">
        <is>
          <t>=VALUE("42")</t>
        </is>
      </c>
      <c r="C144">
        <f>VALUE("42")</f>
        <v/>
      </c>
    </row>
    <row r="145">
      <c r="A145" t="inlineStr">
        <is>
          <t>Text</t>
        </is>
      </c>
      <c r="B145" t="inlineStr">
        <is>
          <t>=NUMBERVALUE("1.234,5",",",".")</t>
        </is>
      </c>
      <c r="C145">
        <f>_xlfn.NUMBERVALUE("1.234,5",",",".")</f>
        <v/>
      </c>
    </row>
    <row r="146">
      <c r="A146" t="inlineStr">
        <is>
          <t>Text</t>
        </is>
      </c>
      <c r="B146" t="inlineStr">
        <is>
          <t>=REPT("ab",3)</t>
        </is>
      </c>
      <c r="C146">
        <f>REPT("ab",3)</f>
        <v/>
      </c>
    </row>
    <row r="147">
      <c r="A147" t="inlineStr">
        <is>
          <t>Text</t>
        </is>
      </c>
      <c r="B147" t="inlineStr">
        <is>
          <t>=CHAR(65)</t>
        </is>
      </c>
      <c r="C147">
        <f>CHAR(65)</f>
        <v/>
      </c>
    </row>
    <row r="148">
      <c r="A148" t="inlineStr">
        <is>
          <t>Text</t>
        </is>
      </c>
      <c r="B148" t="inlineStr">
        <is>
          <t>=CODE("A")</t>
        </is>
      </c>
      <c r="C148">
        <f>CODE("A")</f>
        <v/>
      </c>
    </row>
    <row r="149">
      <c r="A149" t="inlineStr">
        <is>
          <t>Text</t>
        </is>
      </c>
      <c r="B149" t="inlineStr">
        <is>
          <t>=UNICHAR(9731)</t>
        </is>
      </c>
      <c r="C149">
        <f>_xlfn.UNICHAR(9731)</f>
        <v/>
      </c>
    </row>
    <row r="150">
      <c r="A150" t="inlineStr">
        <is>
          <t>Text</t>
        </is>
      </c>
      <c r="B150" t="inlineStr">
        <is>
          <t>=UNICODE("A")</t>
        </is>
      </c>
      <c r="C150">
        <f>_xlfn.UNICODE("A")</f>
        <v/>
      </c>
    </row>
    <row r="151">
      <c r="A151" t="inlineStr">
        <is>
          <t>Text</t>
        </is>
      </c>
      <c r="B151" t="inlineStr">
        <is>
          <t>=EXACT("a","A")</t>
        </is>
      </c>
      <c r="C151">
        <f>EXACT("a","A")</f>
        <v/>
      </c>
    </row>
    <row r="152">
      <c r="A152" t="inlineStr">
        <is>
          <t>Text</t>
        </is>
      </c>
      <c r="B152" t="inlineStr">
        <is>
          <t>=DOLLAR(1234.567,2)</t>
        </is>
      </c>
      <c r="C152">
        <f>DOLLAR(1234.567,2)</f>
        <v/>
      </c>
    </row>
    <row r="153">
      <c r="A153" t="inlineStr">
        <is>
          <t>Text</t>
        </is>
      </c>
      <c r="B153" t="inlineStr">
        <is>
          <t>=FIXED(1234.567,1)</t>
        </is>
      </c>
      <c r="C153">
        <f>FIXED(1234.567,1)</f>
        <v/>
      </c>
    </row>
    <row r="154">
      <c r="A154" t="inlineStr">
        <is>
          <t>Text</t>
        </is>
      </c>
      <c r="B154" t="inlineStr">
        <is>
          <t>=T("text")</t>
        </is>
      </c>
      <c r="C154">
        <f>T("text")</f>
        <v/>
      </c>
    </row>
    <row r="155">
      <c r="A155" t="inlineStr">
        <is>
          <t>Text</t>
        </is>
      </c>
      <c r="B155" t="inlineStr">
        <is>
          <t>=LEN(Data!B3)</t>
        </is>
      </c>
      <c r="C155">
        <f>LEN(Data!B3)</f>
        <v/>
      </c>
    </row>
    <row r="156">
      <c r="A156" t="inlineStr">
        <is>
          <t>Text</t>
        </is>
      </c>
      <c r="B156" t="inlineStr">
        <is>
          <t>=LEFT(Data!B4,2)&amp;"…"</t>
        </is>
      </c>
      <c r="C156">
        <f>LEFT(Data!B4,2)&amp;"…"</f>
        <v/>
      </c>
    </row>
    <row r="157">
      <c r="A157" t="inlineStr">
        <is>
          <t>Text</t>
        </is>
      </c>
      <c r="B157" t="inlineStr">
        <is>
          <t>=UPPER(Data!B5)</t>
        </is>
      </c>
      <c r="C157">
        <f>UPPER(Data!B5)</f>
        <v/>
      </c>
    </row>
    <row r="158">
      <c r="A158" t="inlineStr">
        <is>
          <t>Text</t>
        </is>
      </c>
      <c r="B158" t="inlineStr">
        <is>
          <t>=SUBSTITUTE(Data!B6,"a","A")</t>
        </is>
      </c>
      <c r="C158">
        <f>SUBSTITUTE(Data!B6,"a","A")</f>
        <v/>
      </c>
    </row>
    <row r="159">
      <c r="A159" t="inlineStr">
        <is>
          <t>Text</t>
        </is>
      </c>
      <c r="B159" t="inlineStr">
        <is>
          <t>=TEXT(0.256,"0.0%")</t>
        </is>
      </c>
      <c r="C159">
        <f>TEXT(0.256,"0.0%")</f>
        <v/>
      </c>
    </row>
    <row r="160">
      <c r="A160" t="inlineStr">
        <is>
          <t>Text</t>
        </is>
      </c>
      <c r="B160" t="inlineStr">
        <is>
          <t>=TEXT(Data!C1,"mmmm")</t>
        </is>
      </c>
      <c r="C160">
        <f>TEXT(Data!C1,"mmmm")</f>
        <v/>
      </c>
    </row>
    <row r="161">
      <c r="A161" t="inlineStr">
        <is>
          <t>Date and time</t>
        </is>
      </c>
      <c r="B161" t="inlineStr">
        <is>
          <t>=DATE(2026,1,15)</t>
        </is>
      </c>
      <c r="C161">
        <f>DATE(2026,1,15)</f>
        <v/>
      </c>
    </row>
    <row r="162">
      <c r="A162" t="inlineStr">
        <is>
          <t>Date and time</t>
        </is>
      </c>
      <c r="B162" t="inlineStr">
        <is>
          <t>=DATEVALUE("2026-01-15")</t>
        </is>
      </c>
      <c r="C162">
        <f>DATEVALUE("2026-01-15")</f>
        <v/>
      </c>
    </row>
    <row r="163">
      <c r="A163" t="inlineStr">
        <is>
          <t>Date and time</t>
        </is>
      </c>
      <c r="B163" t="inlineStr">
        <is>
          <t>=DAY(Data!C1)</t>
        </is>
      </c>
      <c r="C163">
        <f>DAY(Data!C1)</f>
        <v/>
      </c>
    </row>
    <row r="164">
      <c r="A164" t="inlineStr">
        <is>
          <t>Date and time</t>
        </is>
      </c>
      <c r="B164" t="inlineStr">
        <is>
          <t>=MONTH(Data!C1)</t>
        </is>
      </c>
      <c r="C164">
        <f>MONTH(Data!C1)</f>
        <v/>
      </c>
    </row>
    <row r="165">
      <c r="A165" t="inlineStr">
        <is>
          <t>Date and time</t>
        </is>
      </c>
      <c r="B165" t="inlineStr">
        <is>
          <t>=YEAR(Data!C1)</t>
        </is>
      </c>
      <c r="C165">
        <f>YEAR(Data!C1)</f>
        <v/>
      </c>
    </row>
    <row r="166">
      <c r="A166" t="inlineStr">
        <is>
          <t>Date and time</t>
        </is>
      </c>
      <c r="B166" t="inlineStr">
        <is>
          <t>=HOUR(0.396)</t>
        </is>
      </c>
      <c r="C166">
        <f>HOUR(0.396)</f>
        <v/>
      </c>
    </row>
    <row r="167">
      <c r="A167" t="inlineStr">
        <is>
          <t>Date and time</t>
        </is>
      </c>
      <c r="B167" t="inlineStr">
        <is>
          <t>=MINUTE(0.396)</t>
        </is>
      </c>
      <c r="C167">
        <f>MINUTE(0.396)</f>
        <v/>
      </c>
    </row>
    <row r="168">
      <c r="A168" t="inlineStr">
        <is>
          <t>Date and time</t>
        </is>
      </c>
      <c r="B168" t="inlineStr">
        <is>
          <t>=SECOND(0.3961)</t>
        </is>
      </c>
      <c r="C168">
        <f>SECOND(0.3961)</f>
        <v/>
      </c>
    </row>
    <row r="169">
      <c r="A169" t="inlineStr">
        <is>
          <t>Date and time</t>
        </is>
      </c>
      <c r="B169" t="inlineStr">
        <is>
          <t>=TIME(9,30,0)</t>
        </is>
      </c>
      <c r="C169">
        <f>TIME(9,30,0)</f>
        <v/>
      </c>
    </row>
    <row r="170">
      <c r="A170" t="inlineStr">
        <is>
          <t>Date and time</t>
        </is>
      </c>
      <c r="B170" t="inlineStr">
        <is>
          <t>=WEEKDAY(Data!C1)</t>
        </is>
      </c>
      <c r="C170">
        <f>WEEKDAY(Data!C1)</f>
        <v/>
      </c>
    </row>
    <row r="171">
      <c r="A171" t="inlineStr">
        <is>
          <t>Date and time</t>
        </is>
      </c>
      <c r="B171" t="inlineStr">
        <is>
          <t>=WEEKNUM(Data!C1)</t>
        </is>
      </c>
      <c r="C171">
        <f>WEEKNUM(Data!C1)</f>
        <v/>
      </c>
    </row>
    <row r="172">
      <c r="A172" t="inlineStr">
        <is>
          <t>Date and time</t>
        </is>
      </c>
      <c r="B172" t="inlineStr">
        <is>
          <t>=ISOWEEKNUM(Data!C1)</t>
        </is>
      </c>
      <c r="C172">
        <f>_xlfn.ISOWEEKNUM(Data!C1)</f>
        <v/>
      </c>
    </row>
    <row r="173">
      <c r="A173" t="inlineStr">
        <is>
          <t>Date and time</t>
        </is>
      </c>
      <c r="B173" t="inlineStr">
        <is>
          <t>=EOMONTH(Data!C1,1)</t>
        </is>
      </c>
      <c r="C173">
        <f>EOMONTH(Data!C1,1)</f>
        <v/>
      </c>
    </row>
    <row r="174">
      <c r="A174" t="inlineStr">
        <is>
          <t>Date and time</t>
        </is>
      </c>
      <c r="B174" t="inlineStr">
        <is>
          <t>=EDATE(Data!C1,3)</t>
        </is>
      </c>
      <c r="C174">
        <f>EDATE(Data!C1,3)</f>
        <v/>
      </c>
    </row>
    <row r="175">
      <c r="A175" t="inlineStr">
        <is>
          <t>Date and time</t>
        </is>
      </c>
      <c r="B175" t="inlineStr">
        <is>
          <t>=NETWORKDAYS(Data!C1,Data!C10)</t>
        </is>
      </c>
      <c r="C175">
        <f>NETWORKDAYS(Data!C1,Data!C10)</f>
        <v/>
      </c>
    </row>
    <row r="176">
      <c r="A176" t="inlineStr">
        <is>
          <t>Date and time</t>
        </is>
      </c>
      <c r="B176" t="inlineStr">
        <is>
          <t>=NETWORKDAYS.INTL(Data!C1,Data!C10,11)</t>
        </is>
      </c>
      <c r="C176">
        <f>_xlfn.NETWORKDAYS.INTL(Data!C1,Data!C10,11)</f>
        <v/>
      </c>
    </row>
    <row r="177">
      <c r="A177" t="inlineStr">
        <is>
          <t>Date and time</t>
        </is>
      </c>
      <c r="B177" t="inlineStr">
        <is>
          <t>=WORKDAY(Data!C1,10)</t>
        </is>
      </c>
      <c r="C177">
        <f>WORKDAY(Data!C1,10)</f>
        <v/>
      </c>
    </row>
    <row r="178">
      <c r="A178" t="inlineStr">
        <is>
          <t>Date and time</t>
        </is>
      </c>
      <c r="B178" t="inlineStr">
        <is>
          <t>=WORKDAY.INTL(Data!C1,10,1)</t>
        </is>
      </c>
      <c r="C178">
        <f>_xlfn.WORKDAY.INTL(Data!C1,10,1)</f>
        <v/>
      </c>
    </row>
    <row r="179">
      <c r="A179" t="inlineStr">
        <is>
          <t>Date and time</t>
        </is>
      </c>
      <c r="B179" t="inlineStr">
        <is>
          <t>=DATEDIF(Data!C1,Data!C10,"d")</t>
        </is>
      </c>
      <c r="C179">
        <f>DATEDIF(Data!C1,Data!C10,"d")</f>
        <v/>
      </c>
    </row>
    <row r="180">
      <c r="A180" t="inlineStr">
        <is>
          <t>Date and time</t>
        </is>
      </c>
      <c r="B180" t="inlineStr">
        <is>
          <t>=DAYS(Data!C10,Data!C1)</t>
        </is>
      </c>
      <c r="C180">
        <f>_xlfn.DAYS(Data!C10,Data!C1)</f>
        <v/>
      </c>
    </row>
    <row r="181">
      <c r="A181" t="inlineStr">
        <is>
          <t>Date and time</t>
        </is>
      </c>
      <c r="B181" t="inlineStr">
        <is>
          <t>=DAYS360(Data!C1,Data!C10)</t>
        </is>
      </c>
      <c r="C181">
        <f>DAYS360(Data!C1,Data!C10)</f>
        <v/>
      </c>
    </row>
    <row r="182">
      <c r="A182" t="inlineStr">
        <is>
          <t>Date and time</t>
        </is>
      </c>
      <c r="B182" t="inlineStr">
        <is>
          <t>=YEARFRAC(Data!C1,Data!C10)</t>
        </is>
      </c>
      <c r="C182">
        <f>YEARFRAC(Data!C1,Data!C10)</f>
        <v/>
      </c>
    </row>
    <row r="183">
      <c r="A183" t="inlineStr">
        <is>
          <t>Date and time</t>
        </is>
      </c>
      <c r="B183" t="inlineStr">
        <is>
          <t>=TIMEVALUE("9:30 AM")</t>
        </is>
      </c>
      <c r="C183">
        <f>TIMEVALUE("9:30 AM")</f>
        <v/>
      </c>
    </row>
    <row r="184">
      <c r="A184" t="inlineStr">
        <is>
          <t>Date and time</t>
        </is>
      </c>
      <c r="B184" t="inlineStr">
        <is>
          <t>=DATE(2024,2,29)+365</t>
        </is>
      </c>
      <c r="C184">
        <f>DATE(2024,2,29)+365</f>
        <v/>
      </c>
    </row>
    <row r="185">
      <c r="A185" t="inlineStr">
        <is>
          <t>Date and time</t>
        </is>
      </c>
      <c r="B185" t="inlineStr">
        <is>
          <t>=Data!C2-Data!C1</t>
        </is>
      </c>
      <c r="C185">
        <f>Data!C2-Data!C1</f>
        <v/>
      </c>
    </row>
    <row r="186">
      <c r="A186" t="inlineStr">
        <is>
          <t>Date and time</t>
        </is>
      </c>
      <c r="B186" t="inlineStr">
        <is>
          <t>=EOMONTH(DATE(2024,1,31),1)</t>
        </is>
      </c>
      <c r="C186">
        <f>EOMONTH(DATE(2024,1,31),1)</f>
        <v/>
      </c>
    </row>
    <row r="187">
      <c r="A187" t="inlineStr">
        <is>
          <t>Date and time</t>
        </is>
      </c>
      <c r="B187" t="inlineStr">
        <is>
          <t>=WEEKDAY(DATE(2026,1,15),2)</t>
        </is>
      </c>
      <c r="C187">
        <f>WEEKDAY(DATE(2026,1,15),2)</f>
        <v/>
      </c>
    </row>
    <row r="188">
      <c r="A188" t="inlineStr">
        <is>
          <t>Date and time</t>
        </is>
      </c>
      <c r="B188" t="inlineStr">
        <is>
          <t>=DATEDIF(DATE(2000,1,1),DATE(2026,1,15),"y")</t>
        </is>
      </c>
      <c r="C188">
        <f>DATEDIF(DATE(2000,1,1),DATE(2026,1,15),"y")</f>
        <v/>
      </c>
    </row>
    <row r="189">
      <c r="A189" t="inlineStr">
        <is>
          <t>Lookup and reference</t>
        </is>
      </c>
      <c r="B189" t="inlineStr">
        <is>
          <t>=VLOOKUP(5,Data!A1:B20,2,FALSE)</t>
        </is>
      </c>
      <c r="C189">
        <f>VLOOKUP(5,Data!A1:B20,2,FALSE)</f>
        <v/>
      </c>
    </row>
    <row r="190">
      <c r="A190" t="inlineStr">
        <is>
          <t>Lookup and reference</t>
        </is>
      </c>
      <c r="B190" t="inlineStr">
        <is>
          <t>=VLOOKUP(5.5,Data!A1:B20,2,TRUE)</t>
        </is>
      </c>
      <c r="C190">
        <f>VLOOKUP(5.5,Data!A1:B20,2,TRUE)</f>
        <v/>
      </c>
    </row>
    <row r="191">
      <c r="A191" t="inlineStr">
        <is>
          <t>Lookup and reference</t>
        </is>
      </c>
      <c r="B191" t="inlineStr">
        <is>
          <t>=HLOOKUP("Qty",Data!F1:H5,3,FALSE)</t>
        </is>
      </c>
      <c r="C191">
        <f>HLOOKUP("Qty",Data!F1:H5,3,FALSE)</f>
        <v/>
      </c>
    </row>
    <row r="192">
      <c r="A192" t="inlineStr">
        <is>
          <t>Lookup and reference</t>
        </is>
      </c>
      <c r="B192" t="inlineStr">
        <is>
          <t>=XLOOKUP(7,Data!A1:A20,Data!B1:B20)</t>
        </is>
      </c>
      <c r="C192">
        <f>_xlfn.XLOOKUP(7,Data!A1:A20,Data!B1:B20)</f>
        <v/>
      </c>
    </row>
    <row r="193">
      <c r="A193" t="inlineStr">
        <is>
          <t>Lookup and reference</t>
        </is>
      </c>
      <c r="B193" t="inlineStr">
        <is>
          <t>=XLOOKUP(99,Data!A1:A20,Data!B1:B20,"none")</t>
        </is>
      </c>
      <c r="C193">
        <f>_xlfn.XLOOKUP(99,Data!A1:A20,Data!B1:B20,"none")</f>
        <v/>
      </c>
    </row>
    <row r="194">
      <c r="A194" t="inlineStr">
        <is>
          <t>Lookup and reference</t>
        </is>
      </c>
      <c r="B194" t="inlineStr">
        <is>
          <t>=XMATCH(7,Data!A1:A20)</t>
        </is>
      </c>
      <c r="C194">
        <f>_xlfn.XMATCH(7,Data!A1:A20)</f>
        <v/>
      </c>
    </row>
    <row r="195">
      <c r="A195" t="inlineStr">
        <is>
          <t>Lookup and reference</t>
        </is>
      </c>
      <c r="B195" t="inlineStr">
        <is>
          <t>=LOOKUP(7,Data!A1:A20,Data!B1:B20)</t>
        </is>
      </c>
      <c r="C195">
        <f>LOOKUP(7,Data!A1:A20,Data!B1:B20)</f>
        <v/>
      </c>
    </row>
    <row r="196">
      <c r="A196" t="inlineStr">
        <is>
          <t>Lookup and reference</t>
        </is>
      </c>
      <c r="B196" t="inlineStr">
        <is>
          <t>=INDEX(Data!A1:C20,3,2)</t>
        </is>
      </c>
      <c r="C196">
        <f>INDEX(Data!A1:C20,3,2)</f>
        <v/>
      </c>
    </row>
    <row r="197">
      <c r="A197" t="inlineStr">
        <is>
          <t>Lookup and reference</t>
        </is>
      </c>
      <c r="B197" t="inlineStr">
        <is>
          <t>=MATCH(7,Data!A1:A20,0)</t>
        </is>
      </c>
      <c r="C197">
        <f>MATCH(7,Data!A1:A20,0)</f>
        <v/>
      </c>
    </row>
    <row r="198">
      <c r="A198" t="inlineStr">
        <is>
          <t>Lookup and reference</t>
        </is>
      </c>
      <c r="B198" t="inlineStr">
        <is>
          <t>=INDEX(Data!B1:B20,MATCH(9,Data!A1:A20,0))</t>
        </is>
      </c>
      <c r="C198">
        <f>INDEX(Data!B1:B20,MATCH(9,Data!A1:A20,0))</f>
        <v/>
      </c>
    </row>
    <row r="199">
      <c r="A199" t="inlineStr">
        <is>
          <t>Lookup and reference</t>
        </is>
      </c>
      <c r="B199" t="inlineStr">
        <is>
          <t>=OFFSET(Data!A1,2,1)</t>
        </is>
      </c>
      <c r="C199">
        <f>OFFSET(Data!A1,2,1)</f>
        <v/>
      </c>
    </row>
    <row r="200">
      <c r="A200" t="inlineStr">
        <is>
          <t>Lookup and reference</t>
        </is>
      </c>
      <c r="B200" t="inlineStr">
        <is>
          <t>=INDIRECT("Data!A5")</t>
        </is>
      </c>
      <c r="C200">
        <f>INDIRECT("Data!A5")</f>
        <v/>
      </c>
    </row>
    <row r="201">
      <c r="A201" t="inlineStr">
        <is>
          <t>Lookup and reference</t>
        </is>
      </c>
      <c r="B201" t="inlineStr">
        <is>
          <t>=CHOOSE(2,"a","b","c")</t>
        </is>
      </c>
      <c r="C201">
        <f>CHOOSE(2,"a","b","c")</f>
        <v/>
      </c>
    </row>
    <row r="202">
      <c r="A202" t="inlineStr">
        <is>
          <t>Lookup and reference</t>
        </is>
      </c>
      <c r="B202" t="inlineStr">
        <is>
          <t>=ROW()</t>
        </is>
      </c>
      <c r="C202">
        <f>ROW()</f>
        <v/>
      </c>
    </row>
    <row r="203">
      <c r="A203" t="inlineStr">
        <is>
          <t>Lookup and reference</t>
        </is>
      </c>
      <c r="B203" t="inlineStr">
        <is>
          <t>=ROWS(Data!A1:A20)</t>
        </is>
      </c>
      <c r="C203">
        <f>ROWS(Data!A1:A20)</f>
        <v/>
      </c>
    </row>
    <row r="204">
      <c r="A204" t="inlineStr">
        <is>
          <t>Lookup and reference</t>
        </is>
      </c>
      <c r="B204" t="inlineStr">
        <is>
          <t>=COLUMN()</t>
        </is>
      </c>
      <c r="C204">
        <f>COLUMN()</f>
        <v/>
      </c>
    </row>
    <row r="205">
      <c r="A205" t="inlineStr">
        <is>
          <t>Lookup and reference</t>
        </is>
      </c>
      <c r="B205" t="inlineStr">
        <is>
          <t>=COLUMNS(Data!A1:C1)</t>
        </is>
      </c>
      <c r="C205">
        <f>COLUMNS(Data!A1:C1)</f>
        <v/>
      </c>
    </row>
    <row r="206">
      <c r="A206" t="inlineStr">
        <is>
          <t>Lookup and reference</t>
        </is>
      </c>
      <c r="B206" t="inlineStr">
        <is>
          <t>=ADDRESS(2,3)</t>
        </is>
      </c>
      <c r="C206">
        <f>ADDRESS(2,3)</f>
        <v/>
      </c>
    </row>
    <row r="207">
      <c r="A207" t="inlineStr">
        <is>
          <t>Lookup and reference</t>
        </is>
      </c>
      <c r="B207" t="inlineStr">
        <is>
          <t>=ADDRESS(2,3,4,TRUE,"Data")</t>
        </is>
      </c>
      <c r="C207">
        <f>ADDRESS(2,3,4,TRUE,"Data")</f>
        <v/>
      </c>
    </row>
    <row r="208">
      <c r="A208" t="inlineStr">
        <is>
          <t>Lookup and reference</t>
        </is>
      </c>
      <c r="B208" t="inlineStr">
        <is>
          <t>=HYPERLINK("https://example.org","link")</t>
        </is>
      </c>
      <c r="C208">
        <f>HYPERLINK("https://example.org","link")</f>
        <v/>
      </c>
    </row>
    <row r="209">
      <c r="A209" t="inlineStr">
        <is>
          <t>Lookup and reference</t>
        </is>
      </c>
      <c r="B209" t="inlineStr">
        <is>
          <t>=SUM(OFFSET(Data!A1,0,0,5,1))</t>
        </is>
      </c>
      <c r="C209">
        <f>SUM(OFFSET(Data!A1,0,0,5,1))</f>
        <v/>
      </c>
    </row>
    <row r="210">
      <c r="A210" t="inlineStr">
        <is>
          <t>Lookup and reference</t>
        </is>
      </c>
      <c r="B210" t="inlineStr">
        <is>
          <t>=INDEX(Data!A1:A20,ROWS(Data!A1:A20))</t>
        </is>
      </c>
      <c r="C210">
        <f>INDEX(Data!A1:A20,ROWS(Data!A1:A20))</f>
        <v/>
      </c>
    </row>
    <row r="211">
      <c r="A211" t="inlineStr">
        <is>
          <t>Lookup and reference</t>
        </is>
      </c>
      <c r="B211" t="inlineStr">
        <is>
          <t>=MATCH("c*",Data!B1:B20,0)</t>
        </is>
      </c>
      <c r="C211">
        <f>MATCH("c*",Data!B1:B20,0)</f>
        <v/>
      </c>
    </row>
    <row r="212">
      <c r="A212" t="inlineStr">
        <is>
          <t>Lookup and reference</t>
        </is>
      </c>
      <c r="B212" t="inlineStr">
        <is>
          <t>=SUM(INDIRECT("Data!A1:A"&amp;5))</t>
        </is>
      </c>
      <c r="C212">
        <f>SUM(INDIRECT("Data!A1:A"&amp;5))</f>
        <v/>
      </c>
    </row>
    <row r="213">
      <c r="A213" t="inlineStr">
        <is>
          <t>Lookup and reference</t>
        </is>
      </c>
      <c r="B213" t="inlineStr">
        <is>
          <t>=ROW(Data!A10)</t>
        </is>
      </c>
      <c r="C213">
        <f>ROW(Data!A10)</f>
        <v/>
      </c>
    </row>
    <row r="214">
      <c r="A214" t="inlineStr">
        <is>
          <t>Information</t>
        </is>
      </c>
      <c r="B214" t="inlineStr">
        <is>
          <t>=ISBLANK(Data!D1)</t>
        </is>
      </c>
      <c r="C214">
        <f>ISBLANK(Data!D1)</f>
        <v/>
      </c>
    </row>
    <row r="215">
      <c r="A215" t="inlineStr">
        <is>
          <t>Information</t>
        </is>
      </c>
      <c r="B215" t="inlineStr">
        <is>
          <t>=ISNUMBER(Data!A1)</t>
        </is>
      </c>
      <c r="C215">
        <f>ISNUMBER(Data!A1)</f>
        <v/>
      </c>
    </row>
    <row r="216">
      <c r="A216" t="inlineStr">
        <is>
          <t>Information</t>
        </is>
      </c>
      <c r="B216" t="inlineStr">
        <is>
          <t>=ISTEXT(Data!B1)</t>
        </is>
      </c>
      <c r="C216">
        <f>ISTEXT(Data!B1)</f>
        <v/>
      </c>
    </row>
    <row r="217">
      <c r="A217" t="inlineStr">
        <is>
          <t>Information</t>
        </is>
      </c>
      <c r="B217" t="inlineStr">
        <is>
          <t>=ISERROR(1/0)</t>
        </is>
      </c>
      <c r="C217">
        <f>ISERROR(1/0)</f>
        <v/>
      </c>
    </row>
    <row r="218">
      <c r="A218" t="inlineStr">
        <is>
          <t>Information</t>
        </is>
      </c>
      <c r="B218" t="inlineStr">
        <is>
          <t>=ISERR(NA())</t>
        </is>
      </c>
      <c r="C218">
        <f>ISERR(NA())</f>
        <v/>
      </c>
    </row>
    <row r="219">
      <c r="A219" t="inlineStr">
        <is>
          <t>Information</t>
        </is>
      </c>
      <c r="B219" t="inlineStr">
        <is>
          <t>=ISNA(NA())</t>
        </is>
      </c>
      <c r="C219">
        <f>ISNA(NA())</f>
        <v/>
      </c>
    </row>
    <row r="220">
      <c r="A220" t="inlineStr">
        <is>
          <t>Information</t>
        </is>
      </c>
      <c r="B220" t="inlineStr">
        <is>
          <t>=ISLOGICAL(TRUE)</t>
        </is>
      </c>
      <c r="C220">
        <f>ISLOGICAL(TRUE)</f>
        <v/>
      </c>
    </row>
    <row r="221">
      <c r="A221" t="inlineStr">
        <is>
          <t>Information</t>
        </is>
      </c>
      <c r="B221" t="inlineStr">
        <is>
          <t>=ISFORMULA(A2)</t>
        </is>
      </c>
      <c r="C221">
        <f>_xlfn.ISFORMULA(A2)</f>
        <v/>
      </c>
    </row>
    <row r="222">
      <c r="A222" t="inlineStr">
        <is>
          <t>Information</t>
        </is>
      </c>
      <c r="B222" t="inlineStr">
        <is>
          <t>=ISEVEN(4)</t>
        </is>
      </c>
      <c r="C222">
        <f>ISEVEN(4)</f>
        <v/>
      </c>
    </row>
    <row r="223">
      <c r="A223" t="inlineStr">
        <is>
          <t>Information</t>
        </is>
      </c>
      <c r="B223" t="inlineStr">
        <is>
          <t>=ISODD(4)</t>
        </is>
      </c>
      <c r="C223">
        <f>ISODD(4)</f>
        <v/>
      </c>
    </row>
    <row r="224">
      <c r="A224" t="inlineStr">
        <is>
          <t>Information</t>
        </is>
      </c>
      <c r="B224" t="inlineStr">
        <is>
          <t>=ISREF(Data!A1)</t>
        </is>
      </c>
      <c r="C224">
        <f>ISREF(Data!A1)</f>
        <v/>
      </c>
    </row>
    <row r="225">
      <c r="A225" t="inlineStr">
        <is>
          <t>Information</t>
        </is>
      </c>
      <c r="B225" t="inlineStr">
        <is>
          <t>=N(TRUE)</t>
        </is>
      </c>
      <c r="C225">
        <f>N(TRUE)</f>
        <v/>
      </c>
    </row>
    <row r="226">
      <c r="A226" t="inlineStr">
        <is>
          <t>Information</t>
        </is>
      </c>
      <c r="B226" t="inlineStr">
        <is>
          <t>=NA()</t>
        </is>
      </c>
      <c r="C226">
        <f>NA()</f>
        <v/>
      </c>
    </row>
    <row r="227">
      <c r="A227" t="inlineStr">
        <is>
          <t>Information</t>
        </is>
      </c>
      <c r="B227" t="inlineStr">
        <is>
          <t>=TYPE("x")</t>
        </is>
      </c>
      <c r="C227">
        <f>TYPE("x")</f>
        <v/>
      </c>
    </row>
    <row r="228">
      <c r="A228" t="inlineStr">
        <is>
          <t>Information</t>
        </is>
      </c>
      <c r="B228" t="inlineStr">
        <is>
          <t>=ERROR.TYPE(1/0)</t>
        </is>
      </c>
      <c r="C228">
        <f>ERROR.TYPE(1/0)</f>
        <v/>
      </c>
    </row>
    <row r="229">
      <c r="A229" t="inlineStr">
        <is>
          <t>Information</t>
        </is>
      </c>
      <c r="B229" t="inlineStr">
        <is>
          <t>=SHEET()</t>
        </is>
      </c>
      <c r="C229">
        <f>_xlfn.SHEET()</f>
        <v/>
      </c>
    </row>
    <row r="230">
      <c r="A230" t="inlineStr">
        <is>
          <t>Information</t>
        </is>
      </c>
      <c r="B230" t="inlineStr">
        <is>
          <t>=SHEETS()</t>
        </is>
      </c>
      <c r="C230">
        <f>_xlfn.SHEETS()</f>
        <v/>
      </c>
    </row>
    <row r="231">
      <c r="A231" t="inlineStr">
        <is>
          <t>Information</t>
        </is>
      </c>
      <c r="B231" t="inlineStr">
        <is>
          <t>=CELL("row",Data!A5)</t>
        </is>
      </c>
      <c r="C231">
        <f>CELL("row",Data!A5)</f>
        <v/>
      </c>
    </row>
    <row r="232">
      <c r="A232" t="inlineStr">
        <is>
          <t>Information</t>
        </is>
      </c>
      <c r="B232" t="inlineStr">
        <is>
          <t>=ISNONTEXT(Data!A1)</t>
        </is>
      </c>
      <c r="C232">
        <f>ISNONTEXT(Data!A1)</f>
        <v/>
      </c>
    </row>
    <row r="233">
      <c r="A233" t="inlineStr">
        <is>
          <t>Information</t>
        </is>
      </c>
      <c r="B233" t="inlineStr">
        <is>
          <t>=TYPE(Data!A1:A2)</t>
        </is>
      </c>
      <c r="C233">
        <f>TYPE(Data!A1:A2)</f>
        <v/>
      </c>
    </row>
    <row r="234">
      <c r="A234" t="inlineStr">
        <is>
          <t>Financial</t>
        </is>
      </c>
      <c r="B234" t="inlineStr">
        <is>
          <t>=PMT(0.05/12,360,250000)</t>
        </is>
      </c>
      <c r="C234">
        <f>PMT(0.05/12,360,250000)</f>
        <v/>
      </c>
    </row>
    <row r="235">
      <c r="A235" t="inlineStr">
        <is>
          <t>Financial</t>
        </is>
      </c>
      <c r="B235" t="inlineStr">
        <is>
          <t>=IPMT(0.05/12,1,360,250000)</t>
        </is>
      </c>
      <c r="C235">
        <f>IPMT(0.05/12,1,360,250000)</f>
        <v/>
      </c>
    </row>
    <row r="236">
      <c r="A236" t="inlineStr">
        <is>
          <t>Financial</t>
        </is>
      </c>
      <c r="B236" t="inlineStr">
        <is>
          <t>=PPMT(0.05/12,1,360,250000)</t>
        </is>
      </c>
      <c r="C236">
        <f>PPMT(0.05/12,1,360,250000)</f>
        <v/>
      </c>
    </row>
    <row r="237">
      <c r="A237" t="inlineStr">
        <is>
          <t>Financial</t>
        </is>
      </c>
      <c r="B237" t="inlineStr">
        <is>
          <t>=PV(0.05/12,360,-1342)</t>
        </is>
      </c>
      <c r="C237">
        <f>PV(0.05/12,360,-1342)</f>
        <v/>
      </c>
    </row>
    <row r="238">
      <c r="A238" t="inlineStr">
        <is>
          <t>Financial</t>
        </is>
      </c>
      <c r="B238" t="inlineStr">
        <is>
          <t>=FV(0.05/12,120,-200)</t>
        </is>
      </c>
      <c r="C238">
        <f>FV(0.05/12,120,-200)</f>
        <v/>
      </c>
    </row>
    <row r="239">
      <c r="A239" t="inlineStr">
        <is>
          <t>Financial</t>
        </is>
      </c>
      <c r="B239" t="inlineStr">
        <is>
          <t>=NPV(0.1,-10000,3000,4200,6800)</t>
        </is>
      </c>
      <c r="C239">
        <f>NPV(0.1,-10000,3000,4200,6800)</f>
        <v/>
      </c>
    </row>
    <row r="240">
      <c r="A240" t="inlineStr">
        <is>
          <t>Financial</t>
        </is>
      </c>
      <c r="B240" t="inlineStr">
        <is>
          <t>=XNPV(0.09,Data!J1:J5,Data!K1:K5)</t>
        </is>
      </c>
      <c r="C240">
        <f>XNPV(0.09,Data!J1:J5,Data!K1:K5)</f>
        <v/>
      </c>
    </row>
    <row r="241">
      <c r="A241" t="inlineStr">
        <is>
          <t>Financial</t>
        </is>
      </c>
      <c r="B241" t="inlineStr">
        <is>
          <t>=IRR(Data!J1:J5)</t>
        </is>
      </c>
      <c r="C241">
        <f>IRR(Data!J1:J5)</f>
        <v/>
      </c>
    </row>
    <row r="242">
      <c r="A242" t="inlineStr">
        <is>
          <t>Financial</t>
        </is>
      </c>
      <c r="B242" t="inlineStr">
        <is>
          <t>=XIRR(Data!J1:J5,Data!K1:K5)</t>
        </is>
      </c>
      <c r="C242">
        <f>XIRR(Data!J1:J5,Data!K1:K5)</f>
        <v/>
      </c>
    </row>
    <row r="243">
      <c r="A243" t="inlineStr">
        <is>
          <t>Financial</t>
        </is>
      </c>
      <c r="B243" t="inlineStr">
        <is>
          <t>=RATE(48,-200,8000)</t>
        </is>
      </c>
      <c r="C243">
        <f>RATE(48,-200,8000)</f>
        <v/>
      </c>
    </row>
    <row r="244">
      <c r="A244" t="inlineStr">
        <is>
          <t>Financial</t>
        </is>
      </c>
      <c r="B244" t="inlineStr">
        <is>
          <t>=NPER(0.01,-100,1000)</t>
        </is>
      </c>
      <c r="C244">
        <f>NPER(0.01,-100,1000)</f>
        <v/>
      </c>
    </row>
    <row r="245">
      <c r="A245" t="inlineStr">
        <is>
          <t>Financial</t>
        </is>
      </c>
      <c r="B245" t="inlineStr">
        <is>
          <t>=SLN(30000,7500,10)</t>
        </is>
      </c>
      <c r="C245">
        <f>SLN(30000,7500,10)</f>
        <v/>
      </c>
    </row>
    <row r="246">
      <c r="A246" t="inlineStr">
        <is>
          <t>Financial</t>
        </is>
      </c>
      <c r="B246" t="inlineStr">
        <is>
          <t>=DB(1000000,100000,6,1,7)</t>
        </is>
      </c>
      <c r="C246">
        <f>DB(1000000,100000,6,1,7)</f>
        <v/>
      </c>
    </row>
    <row r="247">
      <c r="A247" t="inlineStr">
        <is>
          <t>Financial</t>
        </is>
      </c>
      <c r="B247" t="inlineStr">
        <is>
          <t>=DDB(2400,300,10,1)</t>
        </is>
      </c>
      <c r="C247">
        <f>DDB(2400,300,10,1)</f>
        <v/>
      </c>
    </row>
    <row r="248">
      <c r="A248" t="inlineStr">
        <is>
          <t>Financial</t>
        </is>
      </c>
      <c r="B248" t="inlineStr">
        <is>
          <t>=SYD(30000,7500,10,1)</t>
        </is>
      </c>
      <c r="C248">
        <f>SYD(30000,7500,10,1)</f>
        <v/>
      </c>
    </row>
    <row r="249">
      <c r="A249" t="inlineStr">
        <is>
          <t>Financial</t>
        </is>
      </c>
      <c r="B249" t="inlineStr">
        <is>
          <t>=EFFECT(0.0525,4)</t>
        </is>
      </c>
      <c r="C249">
        <f>EFFECT(0.0525,4)</f>
        <v/>
      </c>
    </row>
    <row r="250">
      <c r="A250" t="inlineStr">
        <is>
          <t>Financial</t>
        </is>
      </c>
      <c r="B250" t="inlineStr">
        <is>
          <t>=NOMINAL(0.053543,4)</t>
        </is>
      </c>
      <c r="C250">
        <f>NOMINAL(0.053543,4)</f>
        <v/>
      </c>
    </row>
    <row r="251">
      <c r="A251" t="inlineStr">
        <is>
          <t>Financial</t>
        </is>
      </c>
      <c r="B251" t="inlineStr">
        <is>
          <t>=CUMIPMT(0.09/12,360,125000,13,24,0)</t>
        </is>
      </c>
      <c r="C251">
        <f>CUMIPMT(0.09/12,360,125000,13,24,0)</f>
        <v/>
      </c>
    </row>
    <row r="252">
      <c r="A252" t="inlineStr">
        <is>
          <t>Financial</t>
        </is>
      </c>
      <c r="B252" t="inlineStr">
        <is>
          <t>=CUMPRINC(0.09/12,360,125000,13,24,0)</t>
        </is>
      </c>
      <c r="C252">
        <f>CUMPRINC(0.09/12,360,125000,13,24,0)</f>
        <v/>
      </c>
    </row>
    <row r="253">
      <c r="A253" t="inlineStr">
        <is>
          <t>Financial</t>
        </is>
      </c>
      <c r="B253" t="inlineStr">
        <is>
          <t>=FV(0.06/12,10,-200,-500,1)</t>
        </is>
      </c>
      <c r="C253">
        <f>FV(0.06/12,10,-200,-500,1)</f>
        <v/>
      </c>
    </row>
    <row r="254">
      <c r="A254" t="inlineStr">
        <is>
          <t>Financial</t>
        </is>
      </c>
      <c r="B254" t="inlineStr">
        <is>
          <t>=PMT(0.08/12,10,10000,0,1)</t>
        </is>
      </c>
      <c r="C254">
        <f>PMT(0.08/12,10,10000,0,1)</f>
        <v/>
      </c>
    </row>
    <row r="255">
      <c r="A255" t="inlineStr">
        <is>
          <t>Financial</t>
        </is>
      </c>
      <c r="B255" t="inlineStr">
        <is>
          <t>=MIRR(Data!J1:J5,0.1,0.12)</t>
        </is>
      </c>
      <c r="C255">
        <f>MIRR(Data!J1:J5,0.1,0.12)</f>
        <v/>
      </c>
    </row>
    <row r="256">
      <c r="A256" t="inlineStr">
        <is>
          <t>Financial</t>
        </is>
      </c>
      <c r="B256" t="inlineStr">
        <is>
          <t>=ISPMT(0.1/12,1,36,8000000)</t>
        </is>
      </c>
      <c r="C256">
        <f>ISPMT(0.1/12,1,36,8000000)</f>
        <v/>
      </c>
    </row>
    <row r="257">
      <c r="A257" t="inlineStr">
        <is>
          <t>Financial</t>
        </is>
      </c>
      <c r="B257" t="inlineStr">
        <is>
          <t>=PDURATION(0.025,2000,2200)</t>
        </is>
      </c>
      <c r="C257">
        <f>PDURATION(0.025,2000,2200)</f>
        <v/>
      </c>
    </row>
    <row r="258">
      <c r="A258" t="inlineStr">
        <is>
          <t>Financial</t>
        </is>
      </c>
      <c r="B258" t="inlineStr">
        <is>
          <t>=RRI(96,10000,11000)</t>
        </is>
      </c>
      <c r="C258">
        <f>RRI(96,10000,11000)</f>
        <v/>
      </c>
    </row>
    <row r="259">
      <c r="A259" t="inlineStr">
        <is>
          <t>Engineering</t>
        </is>
      </c>
      <c r="B259" t="inlineStr">
        <is>
          <t>=CONVERT(1,"lbm","kg")</t>
        </is>
      </c>
      <c r="C259">
        <f>CONVERT(1,"lbm","kg")</f>
        <v/>
      </c>
    </row>
    <row r="260">
      <c r="A260" t="inlineStr">
        <is>
          <t>Engineering</t>
        </is>
      </c>
      <c r="B260" t="inlineStr">
        <is>
          <t>=CONVERT(68,"F","C")</t>
        </is>
      </c>
      <c r="C260">
        <f>CONVERT(68,"F","C")</f>
        <v/>
      </c>
    </row>
    <row r="261">
      <c r="A261" t="inlineStr">
        <is>
          <t>Engineering</t>
        </is>
      </c>
      <c r="B261" t="inlineStr">
        <is>
          <t>=DEC2BIN(10)</t>
        </is>
      </c>
      <c r="C261">
        <f>DEC2BIN(10)</f>
        <v/>
      </c>
    </row>
    <row r="262">
      <c r="A262" t="inlineStr">
        <is>
          <t>Engineering</t>
        </is>
      </c>
      <c r="B262" t="inlineStr">
        <is>
          <t>=BIN2DEC("1010")</t>
        </is>
      </c>
      <c r="C262">
        <f>BIN2DEC("1010")</f>
        <v/>
      </c>
    </row>
    <row r="263">
      <c r="A263" t="inlineStr">
        <is>
          <t>Engineering</t>
        </is>
      </c>
      <c r="B263" t="inlineStr">
        <is>
          <t>=DEC2HEX(255)</t>
        </is>
      </c>
      <c r="C263">
        <f>DEC2HEX(255)</f>
        <v/>
      </c>
    </row>
    <row r="264">
      <c r="A264" t="inlineStr">
        <is>
          <t>Engineering</t>
        </is>
      </c>
      <c r="B264" t="inlineStr">
        <is>
          <t>=HEX2DEC("FF")</t>
        </is>
      </c>
      <c r="C264">
        <f>HEX2DEC("FF")</f>
        <v/>
      </c>
    </row>
    <row r="265">
      <c r="A265" t="inlineStr">
        <is>
          <t>Engineering</t>
        </is>
      </c>
      <c r="B265" t="inlineStr">
        <is>
          <t>=DEC2OCT(64)</t>
        </is>
      </c>
      <c r="C265">
        <f>DEC2OCT(64)</f>
        <v/>
      </c>
    </row>
    <row r="266">
      <c r="A266" t="inlineStr">
        <is>
          <t>Engineering</t>
        </is>
      </c>
      <c r="B266" t="inlineStr">
        <is>
          <t>=OCT2DEC("100")</t>
        </is>
      </c>
      <c r="C266">
        <f>OCT2DEC("100")</f>
        <v/>
      </c>
    </row>
    <row r="267">
      <c r="A267" t="inlineStr">
        <is>
          <t>Engineering</t>
        </is>
      </c>
      <c r="B267" t="inlineStr">
        <is>
          <t>=BITAND(13,25)</t>
        </is>
      </c>
      <c r="C267">
        <f>_xlfn.BITAND(13,25)</f>
        <v/>
      </c>
    </row>
    <row r="268">
      <c r="A268" t="inlineStr">
        <is>
          <t>Engineering</t>
        </is>
      </c>
      <c r="B268" t="inlineStr">
        <is>
          <t>=BITOR(13,25)</t>
        </is>
      </c>
      <c r="C268">
        <f>_xlfn.BITOR(13,25)</f>
        <v/>
      </c>
    </row>
    <row r="269">
      <c r="A269" t="inlineStr">
        <is>
          <t>Engineering</t>
        </is>
      </c>
      <c r="B269" t="inlineStr">
        <is>
          <t>=BITXOR(13,25)</t>
        </is>
      </c>
      <c r="C269">
        <f>_xlfn.BITXOR(13,25)</f>
        <v/>
      </c>
    </row>
    <row r="270">
      <c r="A270" t="inlineStr">
        <is>
          <t>Engineering</t>
        </is>
      </c>
      <c r="B270" t="inlineStr">
        <is>
          <t>=COMPLEX(3,4)</t>
        </is>
      </c>
      <c r="C270">
        <f>COMPLEX(3,4)</f>
        <v/>
      </c>
    </row>
    <row r="271">
      <c r="A271" t="inlineStr">
        <is>
          <t>Engineering</t>
        </is>
      </c>
      <c r="B271" t="inlineStr">
        <is>
          <t>=IMREAL("3+4i")</t>
        </is>
      </c>
      <c r="C271">
        <f>IMREAL("3+4i")</f>
        <v/>
      </c>
    </row>
    <row r="272">
      <c r="A272" t="inlineStr">
        <is>
          <t>Engineering</t>
        </is>
      </c>
      <c r="B272" t="inlineStr">
        <is>
          <t>=IMAGINARY("3+4i")</t>
        </is>
      </c>
      <c r="C272">
        <f>IMAGINARY("3+4i")</f>
        <v/>
      </c>
    </row>
    <row r="273">
      <c r="A273" t="inlineStr">
        <is>
          <t>Engineering</t>
        </is>
      </c>
      <c r="B273" t="inlineStr">
        <is>
          <t>=IMABS("3+4i")</t>
        </is>
      </c>
      <c r="C273">
        <f>IMABS("3+4i")</f>
        <v/>
      </c>
    </row>
    <row r="274">
      <c r="A274" t="inlineStr">
        <is>
          <t>Engineering</t>
        </is>
      </c>
      <c r="B274" t="inlineStr">
        <is>
          <t>=DELTA(5,5)</t>
        </is>
      </c>
      <c r="C274">
        <f>DELTA(5,5)</f>
        <v/>
      </c>
    </row>
    <row r="275">
      <c r="A275" t="inlineStr">
        <is>
          <t>Engineering</t>
        </is>
      </c>
      <c r="B275" t="inlineStr">
        <is>
          <t>=GESTEP(5,4)</t>
        </is>
      </c>
      <c r="C275">
        <f>GESTEP(5,4)</f>
        <v/>
      </c>
    </row>
    <row r="276">
      <c r="A276" t="inlineStr">
        <is>
          <t>Engineering</t>
        </is>
      </c>
      <c r="B276" t="inlineStr">
        <is>
          <t>=ERF(1)</t>
        </is>
      </c>
      <c r="C276">
        <f>ERF(1)</f>
        <v/>
      </c>
    </row>
    <row r="277">
      <c r="A277" t="inlineStr">
        <is>
          <t>Engineering</t>
        </is>
      </c>
      <c r="B277" t="inlineStr">
        <is>
          <t>=IMSUM("3+4i","1-2i")</t>
        </is>
      </c>
      <c r="C277">
        <f>IMSUM("3+4i","1-2i")</f>
        <v/>
      </c>
    </row>
    <row r="278">
      <c r="A278" t="inlineStr">
        <is>
          <t>Engineering</t>
        </is>
      </c>
      <c r="B278" t="inlineStr">
        <is>
          <t>=BITLSHIFT(4,2)</t>
        </is>
      </c>
      <c r="C278">
        <f>_xlfn.BITLSHIFT(4,2)</f>
        <v/>
      </c>
    </row>
    <row r="279">
      <c r="A279" t="inlineStr">
        <is>
          <t>Database</t>
        </is>
      </c>
      <c r="B279" t="inlineStr">
        <is>
          <t>=DSUM(Data!F1:H8,"Qty",Data!F10:F11)</t>
        </is>
      </c>
      <c r="C279">
        <f>DSUM(Data!F1:H8,"Qty",Data!F10:F11)</f>
        <v/>
      </c>
    </row>
    <row r="280">
      <c r="A280" t="inlineStr">
        <is>
          <t>Database</t>
        </is>
      </c>
      <c r="B280" t="inlineStr">
        <is>
          <t>=DAVERAGE(Data!F1:H8,"Qty",Data!F10:F11)</t>
        </is>
      </c>
      <c r="C280">
        <f>DAVERAGE(Data!F1:H8,"Qty",Data!F10:F11)</f>
        <v/>
      </c>
    </row>
    <row r="281">
      <c r="A281" t="inlineStr">
        <is>
          <t>Database</t>
        </is>
      </c>
      <c r="B281" t="inlineStr">
        <is>
          <t>=DCOUNT(Data!F1:H8,"Qty",Data!F10:F11)</t>
        </is>
      </c>
      <c r="C281">
        <f>DCOUNT(Data!F1:H8,"Qty",Data!F10:F11)</f>
        <v/>
      </c>
    </row>
    <row r="282">
      <c r="A282" t="inlineStr">
        <is>
          <t>Database</t>
        </is>
      </c>
      <c r="B282" t="inlineStr">
        <is>
          <t>=DCOUNTA(Data!F1:H8,"Item",Data!F10:F11)</t>
        </is>
      </c>
      <c r="C282">
        <f>DCOUNTA(Data!F1:H8,"Item",Data!F10:F11)</f>
        <v/>
      </c>
    </row>
    <row r="283">
      <c r="A283" t="inlineStr">
        <is>
          <t>Database</t>
        </is>
      </c>
      <c r="B283" t="inlineStr">
        <is>
          <t>=DGET(Data!F1:H8,"Price",Data!F13:F14)</t>
        </is>
      </c>
      <c r="C283">
        <f>DGET(Data!F1:H8,"Price",Data!F13:F14)</f>
        <v/>
      </c>
    </row>
    <row r="284">
      <c r="A284" t="inlineStr">
        <is>
          <t>Database</t>
        </is>
      </c>
      <c r="B284" t="inlineStr">
        <is>
          <t>=DMAX(Data!F1:H8,"Qty",Data!F10:F11)</t>
        </is>
      </c>
      <c r="C284">
        <f>DMAX(Data!F1:H8,"Qty",Data!F10:F11)</f>
        <v/>
      </c>
    </row>
    <row r="285">
      <c r="A285" t="inlineStr">
        <is>
          <t>Database</t>
        </is>
      </c>
      <c r="B285" t="inlineStr">
        <is>
          <t>=DMIN(Data!F1:H8,"Qty",Data!F10:F11)</t>
        </is>
      </c>
      <c r="C285">
        <f>DMIN(Data!F1:H8,"Qty",Data!F10:F11)</f>
        <v/>
      </c>
    </row>
    <row r="286">
      <c r="A286" t="inlineStr">
        <is>
          <t>Database</t>
        </is>
      </c>
      <c r="B286" t="inlineStr">
        <is>
          <t>=DPRODUCT(Data!F1:H8,"Qty",Data!F10:F11)</t>
        </is>
      </c>
      <c r="C286">
        <f>DPRODUCT(Data!F1:H8,"Qty",Data!F10:F11)</f>
        <v/>
      </c>
    </row>
    <row r="287">
      <c r="A287" t="inlineStr">
        <is>
          <t>Database</t>
        </is>
      </c>
      <c r="B287" t="inlineStr">
        <is>
          <t>=DSTDEV(Data!F1:H8,"Qty",Data!F10:F11)</t>
        </is>
      </c>
      <c r="C287">
        <f>DSTDEV(Data!F1:H8,"Qty",Data!F10:F11)</f>
        <v/>
      </c>
    </row>
    <row r="288">
      <c r="A288" t="inlineStr">
        <is>
          <t>Database</t>
        </is>
      </c>
      <c r="B288" t="inlineStr">
        <is>
          <t>=DSTDEVP(Data!F1:H8,"Qty",Data!F10:F11)</t>
        </is>
      </c>
      <c r="C288">
        <f>DSTDEVP(Data!F1:H8,"Qty",Data!F10:F11)</f>
        <v/>
      </c>
    </row>
    <row r="289">
      <c r="A289" t="inlineStr">
        <is>
          <t>Database</t>
        </is>
      </c>
      <c r="B289" t="inlineStr">
        <is>
          <t>=DVAR(Data!F1:H8,"Qty",Data!F10:F11)</t>
        </is>
      </c>
      <c r="C289">
        <f>DVAR(Data!F1:H8,"Qty",Data!F10:F11)</f>
        <v/>
      </c>
    </row>
    <row r="290">
      <c r="A290" t="inlineStr">
        <is>
          <t>Database</t>
        </is>
      </c>
      <c r="B290" t="inlineStr">
        <is>
          <t>=DVARP(Data!F1:H8,"Qty",Data!F10:F11)</t>
        </is>
      </c>
      <c r="C290">
        <f>DVARP(Data!F1:H8,"Qty",Data!F10:F11)</f>
        <v/>
      </c>
    </row>
    <row r="291">
      <c r="A291" t="inlineStr">
        <is>
          <t>Operators and references</t>
        </is>
      </c>
      <c r="B291" t="inlineStr">
        <is>
          <t>=(Data!A2-Data!A8)/2</t>
        </is>
      </c>
      <c r="C291">
        <f>(Data!A2-Data!A8)/2</f>
        <v/>
      </c>
    </row>
    <row r="292">
      <c r="A292" t="inlineStr">
        <is>
          <t>Operators and references</t>
        </is>
      </c>
      <c r="B292" t="inlineStr">
        <is>
          <t>=Data!A3^2</t>
        </is>
      </c>
      <c r="C292">
        <f>Data!A3^2</f>
        <v/>
      </c>
    </row>
    <row r="293">
      <c r="A293" t="inlineStr">
        <is>
          <t>Operators and references</t>
        </is>
      </c>
      <c r="B293" t="inlineStr">
        <is>
          <t>=Data!A4&gt;=Data!A2</t>
        </is>
      </c>
      <c r="C293">
        <f>Data!A4&gt;=Data!A2</f>
        <v/>
      </c>
    </row>
    <row r="294">
      <c r="A294" t="inlineStr">
        <is>
          <t>Operators and references</t>
        </is>
      </c>
      <c r="B294" t="inlineStr">
        <is>
          <t>=Data!A5&amp;"-"&amp;Data!B9</t>
        </is>
      </c>
      <c r="C294">
        <f>Data!A5&amp;"-"&amp;Data!B9</f>
        <v/>
      </c>
    </row>
    <row r="295">
      <c r="A295" t="inlineStr">
        <is>
          <t>Operators and references</t>
        </is>
      </c>
      <c r="B295" t="inlineStr">
        <is>
          <t>=Data!A6*10%</t>
        </is>
      </c>
      <c r="C295">
        <f>Data!A6*10%</f>
        <v/>
      </c>
    </row>
    <row r="296">
      <c r="A296" t="inlineStr">
        <is>
          <t>Operators and references</t>
        </is>
      </c>
      <c r="B296" t="inlineStr">
        <is>
          <t>=SUM(Data!$A$1:Data!A7)</t>
        </is>
      </c>
      <c r="C296">
        <f>SUM(Data!$A$1:Data!A7)</f>
        <v/>
      </c>
    </row>
    <row r="297">
      <c r="A297" t="inlineStr">
        <is>
          <t>Operators and references</t>
        </is>
      </c>
      <c r="B297" t="inlineStr">
        <is>
          <t>=-Data!A8</t>
        </is>
      </c>
      <c r="C297">
        <f>-Data!A8</f>
        <v/>
      </c>
    </row>
    <row r="298">
      <c r="A298" t="inlineStr">
        <is>
          <t>Operators and references</t>
        </is>
      </c>
      <c r="B298" t="inlineStr">
        <is>
          <t>=SUM(Data!A1:A9 Data!A17:A20)</t>
        </is>
      </c>
      <c r="C298">
        <f>SUM(Data!A1:A9 Data!A17:A20)</f>
        <v/>
      </c>
    </row>
    <row r="299">
      <c r="A299" t="inlineStr">
        <is>
          <t>Operators and references</t>
        </is>
      </c>
      <c r="B299" t="inlineStr">
        <is>
          <t>=SUM((Data!A4:A10),Data!A1)</t>
        </is>
      </c>
      <c r="C299">
        <f>SUM((Data!A4:A10),Data!A1)</f>
        <v/>
      </c>
    </row>
    <row r="300">
      <c r="A300" t="inlineStr">
        <is>
          <t>Operators and references</t>
        </is>
      </c>
      <c r="B300" t="inlineStr">
        <is>
          <t>=Data!A11+Data!A11*2</t>
        </is>
      </c>
      <c r="C300">
        <f>Data!A11+Data!A11*2</f>
        <v/>
      </c>
    </row>
    <row r="301">
      <c r="A301" t="inlineStr">
        <is>
          <t>Operators and references</t>
        </is>
      </c>
      <c r="B301" t="inlineStr">
        <is>
          <t>=(Data!A12-Data!A18)/2</t>
        </is>
      </c>
      <c r="C301">
        <f>(Data!A12-Data!A18)/2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alpha</t>
        </is>
      </c>
      <c r="C1" s="2" t="n">
        <v>46037</v>
      </c>
      <c r="F1" t="inlineStr">
        <is>
          <t>Item</t>
        </is>
      </c>
      <c r="G1" t="inlineStr">
        <is>
          <t>Qty</t>
        </is>
      </c>
      <c r="H1" t="inlineStr">
        <is>
          <t>Price</t>
        </is>
      </c>
      <c r="J1" t="n">
        <v>-10000</v>
      </c>
      <c r="K1" s="2" t="n">
        <v>46023</v>
      </c>
    </row>
    <row r="2">
      <c r="A2" t="n">
        <v>2</v>
      </c>
      <c r="B2" t="inlineStr">
        <is>
          <t>beta</t>
        </is>
      </c>
      <c r="C2" s="2" t="n">
        <v>46044</v>
      </c>
      <c r="F2" t="inlineStr">
        <is>
          <t>Apple</t>
        </is>
      </c>
      <c r="G2" t="n">
        <v>10</v>
      </c>
      <c r="H2" t="n">
        <v>0.5</v>
      </c>
      <c r="J2" t="n">
        <v>2750</v>
      </c>
      <c r="K2" s="2" t="n">
        <v>46242</v>
      </c>
    </row>
    <row r="3">
      <c r="A3" t="n">
        <v>3</v>
      </c>
      <c r="B3" t="inlineStr">
        <is>
          <t>gamma</t>
        </is>
      </c>
      <c r="C3" s="2" t="n">
        <v>46051</v>
      </c>
      <c r="F3" t="inlineStr">
        <is>
          <t>Pear</t>
        </is>
      </c>
      <c r="G3" t="n">
        <v>4</v>
      </c>
      <c r="H3" t="n">
        <v>0.75</v>
      </c>
      <c r="J3" t="n">
        <v>4250</v>
      </c>
      <c r="K3" s="2" t="n">
        <v>46461</v>
      </c>
    </row>
    <row r="4">
      <c r="A4" t="n">
        <v>4</v>
      </c>
      <c r="B4" t="inlineStr">
        <is>
          <t>delta</t>
        </is>
      </c>
      <c r="C4" s="2" t="n">
        <v>46058</v>
      </c>
      <c r="F4" t="inlineStr">
        <is>
          <t>Apple</t>
        </is>
      </c>
      <c r="G4" t="n">
        <v>7</v>
      </c>
      <c r="H4" t="n">
        <v>0.55</v>
      </c>
      <c r="J4" t="n">
        <v>3250</v>
      </c>
      <c r="K4" s="2" t="n">
        <v>46680</v>
      </c>
    </row>
    <row r="5">
      <c r="A5" t="n">
        <v>5</v>
      </c>
      <c r="B5" t="inlineStr">
        <is>
          <t>epsilon</t>
        </is>
      </c>
      <c r="C5" s="2" t="n">
        <v>46065</v>
      </c>
      <c r="F5" t="inlineStr">
        <is>
          <t>Plum</t>
        </is>
      </c>
      <c r="G5" t="n">
        <v>12</v>
      </c>
      <c r="H5" t="n">
        <v>0.3</v>
      </c>
      <c r="J5" t="n">
        <v>2750</v>
      </c>
      <c r="K5" s="2" t="n">
        <v>46899</v>
      </c>
    </row>
    <row r="6">
      <c r="A6" t="n">
        <v>6</v>
      </c>
      <c r="B6" t="inlineStr">
        <is>
          <t>zeta</t>
        </is>
      </c>
      <c r="C6" s="2" t="n">
        <v>46072</v>
      </c>
      <c r="F6" t="inlineStr">
        <is>
          <t>Pear</t>
        </is>
      </c>
      <c r="G6" t="n">
        <v>9</v>
      </c>
      <c r="H6" t="n">
        <v>0.8</v>
      </c>
    </row>
    <row r="7">
      <c r="A7" t="n">
        <v>7</v>
      </c>
      <c r="B7" t="inlineStr">
        <is>
          <t>eta</t>
        </is>
      </c>
      <c r="C7" s="2" t="n">
        <v>46079</v>
      </c>
      <c r="F7" t="inlineStr">
        <is>
          <t>Apple</t>
        </is>
      </c>
      <c r="G7" t="n">
        <v>3</v>
      </c>
      <c r="H7" t="n">
        <v>0.6</v>
      </c>
    </row>
    <row r="8">
      <c r="A8" t="n">
        <v>8</v>
      </c>
      <c r="B8" t="inlineStr">
        <is>
          <t>theta</t>
        </is>
      </c>
      <c r="C8" s="2" t="n">
        <v>46086</v>
      </c>
      <c r="F8" t="inlineStr">
        <is>
          <t>Fig</t>
        </is>
      </c>
      <c r="G8" t="n">
        <v>6</v>
      </c>
      <c r="H8" t="n">
        <v>1.2</v>
      </c>
    </row>
    <row r="9">
      <c r="A9" t="n">
        <v>9</v>
      </c>
      <c r="B9" t="inlineStr">
        <is>
          <t>iota</t>
        </is>
      </c>
      <c r="C9" s="2" t="n">
        <v>46093</v>
      </c>
    </row>
    <row r="10">
      <c r="A10" t="n">
        <v>10</v>
      </c>
      <c r="B10" t="inlineStr">
        <is>
          <t>kappa</t>
        </is>
      </c>
      <c r="C10" s="2" t="n">
        <v>46100</v>
      </c>
      <c r="F10" t="inlineStr">
        <is>
          <t>Item</t>
        </is>
      </c>
    </row>
    <row r="11">
      <c r="A11" t="n">
        <v>11</v>
      </c>
      <c r="B11" t="inlineStr">
        <is>
          <t>alpha11</t>
        </is>
      </c>
      <c r="C11" s="2" t="n">
        <v>46107</v>
      </c>
      <c r="F11" t="inlineStr">
        <is>
          <t>Apple</t>
        </is>
      </c>
    </row>
    <row r="12">
      <c r="A12" t="n">
        <v>12</v>
      </c>
      <c r="B12" t="inlineStr">
        <is>
          <t>beta12</t>
        </is>
      </c>
      <c r="C12" s="2" t="n">
        <v>46114</v>
      </c>
    </row>
    <row r="13">
      <c r="A13" t="n">
        <v>13</v>
      </c>
      <c r="B13" t="inlineStr">
        <is>
          <t>gamma13</t>
        </is>
      </c>
      <c r="C13" s="2" t="n">
        <v>46121</v>
      </c>
      <c r="F13" t="inlineStr">
        <is>
          <t>Item</t>
        </is>
      </c>
    </row>
    <row r="14">
      <c r="A14" t="n">
        <v>14</v>
      </c>
      <c r="B14" t="inlineStr">
        <is>
          <t>delta14</t>
        </is>
      </c>
      <c r="C14" s="2" t="n">
        <v>46128</v>
      </c>
      <c r="F14" t="inlineStr">
        <is>
          <t>Fig</t>
        </is>
      </c>
    </row>
    <row r="15">
      <c r="A15" t="n">
        <v>15</v>
      </c>
      <c r="B15" t="inlineStr">
        <is>
          <t>epsilon15</t>
        </is>
      </c>
      <c r="C15" s="2" t="n">
        <v>46135</v>
      </c>
    </row>
    <row r="16">
      <c r="A16" t="n">
        <v>16</v>
      </c>
      <c r="B16" t="inlineStr">
        <is>
          <t>zeta16</t>
        </is>
      </c>
      <c r="C16" s="2" t="n">
        <v>46142</v>
      </c>
    </row>
    <row r="17">
      <c r="A17" t="n">
        <v>17</v>
      </c>
      <c r="B17" t="inlineStr">
        <is>
          <t>eta17</t>
        </is>
      </c>
      <c r="C17" s="2" t="n">
        <v>46149</v>
      </c>
    </row>
    <row r="18">
      <c r="A18" t="n">
        <v>18</v>
      </c>
      <c r="B18" t="inlineStr">
        <is>
          <t>theta18</t>
        </is>
      </c>
      <c r="C18" s="2" t="n">
        <v>46156</v>
      </c>
    </row>
    <row r="19">
      <c r="A19" t="n">
        <v>19</v>
      </c>
      <c r="B19" t="inlineStr">
        <is>
          <t>iota19</t>
        </is>
      </c>
      <c r="C19" s="2" t="n">
        <v>46163</v>
      </c>
    </row>
    <row r="20">
      <c r="A20" t="n">
        <v>20</v>
      </c>
      <c r="B20" t="inlineStr">
        <is>
          <t>kappa20</t>
        </is>
      </c>
      <c r="C20" s="2" t="n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Formulas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